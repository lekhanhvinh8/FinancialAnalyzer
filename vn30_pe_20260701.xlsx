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N30 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x&quot;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444444"/>
      <sz val="10"/>
    </font>
    <font>
      <b val="1"/>
      <color rgb="00FFFFFF"/>
    </font>
    <font>
      <b val="1"/>
    </font>
    <font>
      <color rgb="000000FF"/>
    </font>
    <font>
      <color rgb="00000000"/>
    </font>
    <font>
      <b val="1"/>
      <sz val="11"/>
    </font>
    <font>
      <b val="1"/>
      <color rgb="00C00000"/>
      <sz val="14"/>
    </font>
    <font>
      <b val="1"/>
      <color rgb="00375623"/>
      <sz val="1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EBF3FB"/>
        <bgColor rgb="00EBF3FB"/>
      </patternFill>
    </fill>
    <fill>
      <patternFill patternType="solid">
        <fgColor rgb="00EBF1DE"/>
        <bgColor rgb="00EBF1D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3" fontId="6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3" fontId="4" fillId="7" borderId="1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G6" authorId="0" shapeId="0">
      <text>
        <t>Q1-2026</t>
      </text>
    </comment>
    <comment ref="H6" authorId="0" shapeId="0">
      <text>
        <t>Q4-2025</t>
      </text>
    </comment>
    <comment ref="I6" authorId="0" shapeId="0">
      <text>
        <t>Q3-2025</t>
      </text>
    </comment>
    <comment ref="J6" authorId="0" shapeId="0">
      <text>
        <t>Q2-2025</t>
      </text>
    </comment>
    <comment ref="N6" authorId="0" shapeId="0">
      <text>
        <t>Q1-2026</t>
      </text>
    </comment>
    <comment ref="O6" authorId="0" shapeId="0">
      <text>
        <t>Q4-2025</t>
      </text>
    </comment>
    <comment ref="P6" authorId="0" shapeId="0">
      <text>
        <t>Q3-2025</t>
      </text>
    </comment>
    <comment ref="Q6" authorId="0" shapeId="0">
      <text>
        <t>Q2-2025</t>
      </text>
    </comment>
    <comment ref="G7" authorId="0" shapeId="0">
      <text>
        <t>Q1-2026</t>
      </text>
    </comment>
    <comment ref="H7" authorId="0" shapeId="0">
      <text>
        <t>Q4-2025</t>
      </text>
    </comment>
    <comment ref="I7" authorId="0" shapeId="0">
      <text>
        <t>Q3-2025</t>
      </text>
    </comment>
    <comment ref="J7" authorId="0" shapeId="0">
      <text>
        <t>Q2-2025</t>
      </text>
    </comment>
    <comment ref="N7" authorId="0" shapeId="0">
      <text>
        <t>Q1-2026</t>
      </text>
    </comment>
    <comment ref="O7" authorId="0" shapeId="0">
      <text>
        <t>Q4-2025</t>
      </text>
    </comment>
    <comment ref="P7" authorId="0" shapeId="0">
      <text>
        <t>Q3-2025</t>
      </text>
    </comment>
    <comment ref="Q7" authorId="0" shapeId="0">
      <text>
        <t>Q2-2025</t>
      </text>
    </comment>
    <comment ref="G8" authorId="0" shapeId="0">
      <text>
        <t>Q1-2026</t>
      </text>
    </comment>
    <comment ref="H8" authorId="0" shapeId="0">
      <text>
        <t>Q4-2025</t>
      </text>
    </comment>
    <comment ref="I8" authorId="0" shapeId="0">
      <text>
        <t>Q3-2025</t>
      </text>
    </comment>
    <comment ref="J8" authorId="0" shapeId="0">
      <text>
        <t>Q2-2025</t>
      </text>
    </comment>
    <comment ref="N8" authorId="0" shapeId="0">
      <text>
        <t>Q1-2026</t>
      </text>
    </comment>
    <comment ref="O8" authorId="0" shapeId="0">
      <text>
        <t>Q4-2025</t>
      </text>
    </comment>
    <comment ref="P8" authorId="0" shapeId="0">
      <text>
        <t>Q3-2025</t>
      </text>
    </comment>
    <comment ref="Q8" authorId="0" shapeId="0">
      <text>
        <t>Q2-2025</t>
      </text>
    </comment>
    <comment ref="G9" authorId="0" shapeId="0">
      <text>
        <t>Q1-2026</t>
      </text>
    </comment>
    <comment ref="H9" authorId="0" shapeId="0">
      <text>
        <t>Q4-2025</t>
      </text>
    </comment>
    <comment ref="I9" authorId="0" shapeId="0">
      <text>
        <t>Q3-2025</t>
      </text>
    </comment>
    <comment ref="J9" authorId="0" shapeId="0">
      <text>
        <t>Q2-2025</t>
      </text>
    </comment>
    <comment ref="N9" authorId="0" shapeId="0">
      <text>
        <t>Q1-2026</t>
      </text>
    </comment>
    <comment ref="O9" authorId="0" shapeId="0">
      <text>
        <t>Q4-2025</t>
      </text>
    </comment>
    <comment ref="P9" authorId="0" shapeId="0">
      <text>
        <t>Q3-2025</t>
      </text>
    </comment>
    <comment ref="Q9" authorId="0" shapeId="0">
      <text>
        <t>Q2-2025</t>
      </text>
    </comment>
    <comment ref="G10" authorId="0" shapeId="0">
      <text>
        <t>Q1-2026</t>
      </text>
    </comment>
    <comment ref="H10" authorId="0" shapeId="0">
      <text>
        <t>Q4-2025</t>
      </text>
    </comment>
    <comment ref="I10" authorId="0" shapeId="0">
      <text>
        <t>Q3-2025</t>
      </text>
    </comment>
    <comment ref="J10" authorId="0" shapeId="0">
      <text>
        <t>Q2-2025</t>
      </text>
    </comment>
    <comment ref="N10" authorId="0" shapeId="0">
      <text>
        <t>Q1-2026</t>
      </text>
    </comment>
    <comment ref="O10" authorId="0" shapeId="0">
      <text>
        <t>Q4-2025</t>
      </text>
    </comment>
    <comment ref="P10" authorId="0" shapeId="0">
      <text>
        <t>Q3-2025</t>
      </text>
    </comment>
    <comment ref="Q10" authorId="0" shapeId="0">
      <text>
        <t>Q2-2025</t>
      </text>
    </comment>
    <comment ref="G11" authorId="0" shapeId="0">
      <text>
        <t>Q1-2026</t>
      </text>
    </comment>
    <comment ref="H11" authorId="0" shapeId="0">
      <text>
        <t>Q4-2025</t>
      </text>
    </comment>
    <comment ref="I11" authorId="0" shapeId="0">
      <text>
        <t>Q3-2025</t>
      </text>
    </comment>
    <comment ref="J11" authorId="0" shapeId="0">
      <text>
        <t>Q2-2025</t>
      </text>
    </comment>
    <comment ref="N11" authorId="0" shapeId="0">
      <text>
        <t>Q1-2026</t>
      </text>
    </comment>
    <comment ref="O11" authorId="0" shapeId="0">
      <text>
        <t>Q4-2025</t>
      </text>
    </comment>
    <comment ref="P11" authorId="0" shapeId="0">
      <text>
        <t>Q3-2025</t>
      </text>
    </comment>
    <comment ref="Q11" authorId="0" shapeId="0">
      <text>
        <t>Q2-2025</t>
      </text>
    </comment>
    <comment ref="G12" authorId="0" shapeId="0">
      <text>
        <t>Q1-2026</t>
      </text>
    </comment>
    <comment ref="H12" authorId="0" shapeId="0">
      <text>
        <t>Q4-2025</t>
      </text>
    </comment>
    <comment ref="I12" authorId="0" shapeId="0">
      <text>
        <t>Q3-2025</t>
      </text>
    </comment>
    <comment ref="J12" authorId="0" shapeId="0">
      <text>
        <t>Q2-2025</t>
      </text>
    </comment>
    <comment ref="N12" authorId="0" shapeId="0">
      <text>
        <t>Q1-2026</t>
      </text>
    </comment>
    <comment ref="O12" authorId="0" shapeId="0">
      <text>
        <t>Q4-2025</t>
      </text>
    </comment>
    <comment ref="P12" authorId="0" shapeId="0">
      <text>
        <t>Q3-2025</t>
      </text>
    </comment>
    <comment ref="Q12" authorId="0" shapeId="0">
      <text>
        <t>Q2-2025</t>
      </text>
    </comment>
    <comment ref="G13" authorId="0" shapeId="0">
      <text>
        <t>Q1-2026</t>
      </text>
    </comment>
    <comment ref="H13" authorId="0" shapeId="0">
      <text>
        <t>Q4-2025</t>
      </text>
    </comment>
    <comment ref="I13" authorId="0" shapeId="0">
      <text>
        <t>Q3-2025</t>
      </text>
    </comment>
    <comment ref="J13" authorId="0" shapeId="0">
      <text>
        <t>Q2-2025</t>
      </text>
    </comment>
    <comment ref="N13" authorId="0" shapeId="0">
      <text>
        <t>Q1-2026</t>
      </text>
    </comment>
    <comment ref="O13" authorId="0" shapeId="0">
      <text>
        <t>Q4-2025</t>
      </text>
    </comment>
    <comment ref="P13" authorId="0" shapeId="0">
      <text>
        <t>Q3-2025</t>
      </text>
    </comment>
    <comment ref="Q13" authorId="0" shapeId="0">
      <text>
        <t>Q2-2025</t>
      </text>
    </comment>
    <comment ref="G14" authorId="0" shapeId="0">
      <text>
        <t>Q1-2026</t>
      </text>
    </comment>
    <comment ref="H14" authorId="0" shapeId="0">
      <text>
        <t>Q4-2025</t>
      </text>
    </comment>
    <comment ref="I14" authorId="0" shapeId="0">
      <text>
        <t>Q3-2025</t>
      </text>
    </comment>
    <comment ref="J14" authorId="0" shapeId="0">
      <text>
        <t>Q2-2025</t>
      </text>
    </comment>
    <comment ref="N14" authorId="0" shapeId="0">
      <text>
        <t>Q1-2026</t>
      </text>
    </comment>
    <comment ref="O14" authorId="0" shapeId="0">
      <text>
        <t>Q4-2025</t>
      </text>
    </comment>
    <comment ref="P14" authorId="0" shapeId="0">
      <text>
        <t>Q3-2025</t>
      </text>
    </comment>
    <comment ref="Q14" authorId="0" shapeId="0">
      <text>
        <t>Q2-2025</t>
      </text>
    </comment>
    <comment ref="G15" authorId="0" shapeId="0">
      <text>
        <t>Q1-2026</t>
      </text>
    </comment>
    <comment ref="H15" authorId="0" shapeId="0">
      <text>
        <t>Q4-2025</t>
      </text>
    </comment>
    <comment ref="I15" authorId="0" shapeId="0">
      <text>
        <t>Q3-2025</t>
      </text>
    </comment>
    <comment ref="J15" authorId="0" shapeId="0">
      <text>
        <t>Q2-2025</t>
      </text>
    </comment>
    <comment ref="N15" authorId="0" shapeId="0">
      <text>
        <t>Q1-2026</t>
      </text>
    </comment>
    <comment ref="O15" authorId="0" shapeId="0">
      <text>
        <t>Q4-2025</t>
      </text>
    </comment>
    <comment ref="P15" authorId="0" shapeId="0">
      <text>
        <t>Q3-2025</t>
      </text>
    </comment>
    <comment ref="Q15" authorId="0" shapeId="0">
      <text>
        <t>Q2-2025</t>
      </text>
    </comment>
    <comment ref="G16" authorId="0" shapeId="0">
      <text>
        <t>Q1-2026</t>
      </text>
    </comment>
    <comment ref="H16" authorId="0" shapeId="0">
      <text>
        <t>Q4-2025</t>
      </text>
    </comment>
    <comment ref="I16" authorId="0" shapeId="0">
      <text>
        <t>Q3-2025</t>
      </text>
    </comment>
    <comment ref="J16" authorId="0" shapeId="0">
      <text>
        <t>Q2-2025</t>
      </text>
    </comment>
    <comment ref="N16" authorId="0" shapeId="0">
      <text>
        <t>Q1-2026</t>
      </text>
    </comment>
    <comment ref="O16" authorId="0" shapeId="0">
      <text>
        <t>Q4-2025</t>
      </text>
    </comment>
    <comment ref="P16" authorId="0" shapeId="0">
      <text>
        <t>Q3-2025</t>
      </text>
    </comment>
    <comment ref="Q16" authorId="0" shapeId="0">
      <text>
        <t>Q2-2025</t>
      </text>
    </comment>
    <comment ref="G17" authorId="0" shapeId="0">
      <text>
        <t>Q1-2026</t>
      </text>
    </comment>
    <comment ref="H17" authorId="0" shapeId="0">
      <text>
        <t>Q4-2025</t>
      </text>
    </comment>
    <comment ref="I17" authorId="0" shapeId="0">
      <text>
        <t>Q3-2025</t>
      </text>
    </comment>
    <comment ref="J17" authorId="0" shapeId="0">
      <text>
        <t>Q2-2025</t>
      </text>
    </comment>
    <comment ref="N17" authorId="0" shapeId="0">
      <text>
        <t>Q1-2026</t>
      </text>
    </comment>
    <comment ref="O17" authorId="0" shapeId="0">
      <text>
        <t>Q4-2025</t>
      </text>
    </comment>
    <comment ref="P17" authorId="0" shapeId="0">
      <text>
        <t>Q3-2025</t>
      </text>
    </comment>
    <comment ref="Q17" authorId="0" shapeId="0">
      <text>
        <t>Q2-2025</t>
      </text>
    </comment>
    <comment ref="G18" authorId="0" shapeId="0">
      <text>
        <t>Q1-2026</t>
      </text>
    </comment>
    <comment ref="H18" authorId="0" shapeId="0">
      <text>
        <t>Q4-2025</t>
      </text>
    </comment>
    <comment ref="I18" authorId="0" shapeId="0">
      <text>
        <t>Q3-2025</t>
      </text>
    </comment>
    <comment ref="J18" authorId="0" shapeId="0">
      <text>
        <t>Q2-2025</t>
      </text>
    </comment>
    <comment ref="N18" authorId="0" shapeId="0">
      <text>
        <t>Q1-2026</t>
      </text>
    </comment>
    <comment ref="O18" authorId="0" shapeId="0">
      <text>
        <t>Q4-2025</t>
      </text>
    </comment>
    <comment ref="P18" authorId="0" shapeId="0">
      <text>
        <t>Q3-2025</t>
      </text>
    </comment>
    <comment ref="Q18" authorId="0" shapeId="0">
      <text>
        <t>Q2-2025</t>
      </text>
    </comment>
    <comment ref="G19" authorId="0" shapeId="0">
      <text>
        <t>Q1-2026</t>
      </text>
    </comment>
    <comment ref="H19" authorId="0" shapeId="0">
      <text>
        <t>Q4-2025</t>
      </text>
    </comment>
    <comment ref="I19" authorId="0" shapeId="0">
      <text>
        <t>Q3-2025</t>
      </text>
    </comment>
    <comment ref="J19" authorId="0" shapeId="0">
      <text>
        <t>Q2-2025</t>
      </text>
    </comment>
    <comment ref="N19" authorId="0" shapeId="0">
      <text>
        <t>Q1-2026</t>
      </text>
    </comment>
    <comment ref="O19" authorId="0" shapeId="0">
      <text>
        <t>Q4-2025</t>
      </text>
    </comment>
    <comment ref="P19" authorId="0" shapeId="0">
      <text>
        <t>Q3-2025</t>
      </text>
    </comment>
    <comment ref="Q19" authorId="0" shapeId="0">
      <text>
        <t>Q2-2025</t>
      </text>
    </comment>
    <comment ref="G20" authorId="0" shapeId="0">
      <text>
        <t>Q1-2026</t>
      </text>
    </comment>
    <comment ref="H20" authorId="0" shapeId="0">
      <text>
        <t>Q4-2025</t>
      </text>
    </comment>
    <comment ref="I20" authorId="0" shapeId="0">
      <text>
        <t>Q3-2025</t>
      </text>
    </comment>
    <comment ref="J20" authorId="0" shapeId="0">
      <text>
        <t>Q2-2025</t>
      </text>
    </comment>
    <comment ref="N20" authorId="0" shapeId="0">
      <text>
        <t>Q1-2026</t>
      </text>
    </comment>
    <comment ref="O20" authorId="0" shapeId="0">
      <text>
        <t>Q4-2025</t>
      </text>
    </comment>
    <comment ref="P20" authorId="0" shapeId="0">
      <text>
        <t>Q3-2025</t>
      </text>
    </comment>
    <comment ref="Q20" authorId="0" shapeId="0">
      <text>
        <t>Q2-2025</t>
      </text>
    </comment>
    <comment ref="G21" authorId="0" shapeId="0">
      <text>
        <t>Q1-2026</t>
      </text>
    </comment>
    <comment ref="H21" authorId="0" shapeId="0">
      <text>
        <t>Q4-2025</t>
      </text>
    </comment>
    <comment ref="I21" authorId="0" shapeId="0">
      <text>
        <t>Q3-2025</t>
      </text>
    </comment>
    <comment ref="J21" authorId="0" shapeId="0">
      <text>
        <t>Q2-2025</t>
      </text>
    </comment>
    <comment ref="N21" authorId="0" shapeId="0">
      <text>
        <t>Q1-2026</t>
      </text>
    </comment>
    <comment ref="O21" authorId="0" shapeId="0">
      <text>
        <t>Q4-2025</t>
      </text>
    </comment>
    <comment ref="P21" authorId="0" shapeId="0">
      <text>
        <t>Q3-2025</t>
      </text>
    </comment>
    <comment ref="Q21" authorId="0" shapeId="0">
      <text>
        <t>Q2-2025</t>
      </text>
    </comment>
    <comment ref="G22" authorId="0" shapeId="0">
      <text>
        <t>Q1-2026</t>
      </text>
    </comment>
    <comment ref="H22" authorId="0" shapeId="0">
      <text>
        <t>Q4-2025</t>
      </text>
    </comment>
    <comment ref="I22" authorId="0" shapeId="0">
      <text>
        <t>Q3-2025</t>
      </text>
    </comment>
    <comment ref="J22" authorId="0" shapeId="0">
      <text>
        <t>Q2-2025</t>
      </text>
    </comment>
    <comment ref="N22" authorId="0" shapeId="0">
      <text>
        <t>Q1-2026</t>
      </text>
    </comment>
    <comment ref="O22" authorId="0" shapeId="0">
      <text>
        <t>Q4-2025</t>
      </text>
    </comment>
    <comment ref="P22" authorId="0" shapeId="0">
      <text>
        <t>Q3-2025</t>
      </text>
    </comment>
    <comment ref="Q22" authorId="0" shapeId="0">
      <text>
        <t>Q2-2025</t>
      </text>
    </comment>
    <comment ref="G23" authorId="0" shapeId="0">
      <text>
        <t>Q1-2026</t>
      </text>
    </comment>
    <comment ref="H23" authorId="0" shapeId="0">
      <text>
        <t>Q4-2025</t>
      </text>
    </comment>
    <comment ref="I23" authorId="0" shapeId="0">
      <text>
        <t>Q3-2025</t>
      </text>
    </comment>
    <comment ref="J23" authorId="0" shapeId="0">
      <text>
        <t>Q2-2025</t>
      </text>
    </comment>
    <comment ref="N23" authorId="0" shapeId="0">
      <text>
        <t>Q1-2026</t>
      </text>
    </comment>
    <comment ref="O23" authorId="0" shapeId="0">
      <text>
        <t>Q4-2025</t>
      </text>
    </comment>
    <comment ref="P23" authorId="0" shapeId="0">
      <text>
        <t>Q3-2025</t>
      </text>
    </comment>
    <comment ref="Q23" authorId="0" shapeId="0">
      <text>
        <t>Q2-2025</t>
      </text>
    </comment>
    <comment ref="G24" authorId="0" shapeId="0">
      <text>
        <t>Q1-2026</t>
      </text>
    </comment>
    <comment ref="H24" authorId="0" shapeId="0">
      <text>
        <t>Q4-2025</t>
      </text>
    </comment>
    <comment ref="I24" authorId="0" shapeId="0">
      <text>
        <t>Q3-2025</t>
      </text>
    </comment>
    <comment ref="J24" authorId="0" shapeId="0">
      <text>
        <t>Q2-2025</t>
      </text>
    </comment>
    <comment ref="N24" authorId="0" shapeId="0">
      <text>
        <t>Q1-2026</t>
      </text>
    </comment>
    <comment ref="O24" authorId="0" shapeId="0">
      <text>
        <t>Q4-2025</t>
      </text>
    </comment>
    <comment ref="P24" authorId="0" shapeId="0">
      <text>
        <t>Q3-2025</t>
      </text>
    </comment>
    <comment ref="Q24" authorId="0" shapeId="0">
      <text>
        <t>Q2-2025</t>
      </text>
    </comment>
    <comment ref="G25" authorId="0" shapeId="0">
      <text>
        <t>Q1-2026</t>
      </text>
    </comment>
    <comment ref="H25" authorId="0" shapeId="0">
      <text>
        <t>Q4-2025</t>
      </text>
    </comment>
    <comment ref="I25" authorId="0" shapeId="0">
      <text>
        <t>Q3-2025</t>
      </text>
    </comment>
    <comment ref="J25" authorId="0" shapeId="0">
      <text>
        <t>Q1-2025</t>
      </text>
    </comment>
    <comment ref="N25" authorId="0" shapeId="0">
      <text>
        <t>Q1-2026</t>
      </text>
    </comment>
    <comment ref="O25" authorId="0" shapeId="0">
      <text>
        <t>Q4-2025</t>
      </text>
    </comment>
    <comment ref="P25" authorId="0" shapeId="0">
      <text>
        <t>Q3-2025</t>
      </text>
    </comment>
    <comment ref="Q25" authorId="0" shapeId="0">
      <text>
        <t>Q1-2025</t>
      </text>
    </comment>
    <comment ref="G26" authorId="0" shapeId="0">
      <text>
        <t>Q1-2026</t>
      </text>
    </comment>
    <comment ref="H26" authorId="0" shapeId="0">
      <text>
        <t>Q4-2025</t>
      </text>
    </comment>
    <comment ref="I26" authorId="0" shapeId="0">
      <text>
        <t>Q3-2025</t>
      </text>
    </comment>
    <comment ref="J26" authorId="0" shapeId="0">
      <text>
        <t>Q2-2025</t>
      </text>
    </comment>
    <comment ref="N26" authorId="0" shapeId="0">
      <text>
        <t>Q1-2026</t>
      </text>
    </comment>
    <comment ref="O26" authorId="0" shapeId="0">
      <text>
        <t>Q4-2025</t>
      </text>
    </comment>
    <comment ref="P26" authorId="0" shapeId="0">
      <text>
        <t>Q3-2025</t>
      </text>
    </comment>
    <comment ref="Q26" authorId="0" shapeId="0">
      <text>
        <t>Q2-2025</t>
      </text>
    </comment>
    <comment ref="G27" authorId="0" shapeId="0">
      <text>
        <t>Q1-2026</t>
      </text>
    </comment>
    <comment ref="H27" authorId="0" shapeId="0">
      <text>
        <t>Q4-2025</t>
      </text>
    </comment>
    <comment ref="I27" authorId="0" shapeId="0">
      <text>
        <t>Q3-2025</t>
      </text>
    </comment>
    <comment ref="J27" authorId="0" shapeId="0">
      <text>
        <t>Q2-2025</t>
      </text>
    </comment>
    <comment ref="N27" authorId="0" shapeId="0">
      <text>
        <t>Q1-2026</t>
      </text>
    </comment>
    <comment ref="O27" authorId="0" shapeId="0">
      <text>
        <t>Q4-2025</t>
      </text>
    </comment>
    <comment ref="P27" authorId="0" shapeId="0">
      <text>
        <t>Q3-2025</t>
      </text>
    </comment>
    <comment ref="Q27" authorId="0" shapeId="0">
      <text>
        <t>Q2-2025</t>
      </text>
    </comment>
    <comment ref="G28" authorId="0" shapeId="0">
      <text>
        <t>Q1-2026</t>
      </text>
    </comment>
    <comment ref="H28" authorId="0" shapeId="0">
      <text>
        <t>Q4-2025</t>
      </text>
    </comment>
    <comment ref="I28" authorId="0" shapeId="0">
      <text>
        <t>Q3-2025</t>
      </text>
    </comment>
    <comment ref="J28" authorId="0" shapeId="0">
      <text>
        <t>Q2-2025</t>
      </text>
    </comment>
    <comment ref="N28" authorId="0" shapeId="0">
      <text>
        <t>Q1-2026</t>
      </text>
    </comment>
    <comment ref="O28" authorId="0" shapeId="0">
      <text>
        <t>Q4-2025</t>
      </text>
    </comment>
    <comment ref="P28" authorId="0" shapeId="0">
      <text>
        <t>Q3-2025</t>
      </text>
    </comment>
    <comment ref="Q28" authorId="0" shapeId="0">
      <text>
        <t>Q2-2025</t>
      </text>
    </comment>
    <comment ref="G29" authorId="0" shapeId="0">
      <text>
        <t>Q1-2026</t>
      </text>
    </comment>
    <comment ref="H29" authorId="0" shapeId="0">
      <text>
        <t>Q4-2025</t>
      </text>
    </comment>
    <comment ref="I29" authorId="0" shapeId="0">
      <text>
        <t>Q3-2025</t>
      </text>
    </comment>
    <comment ref="J29" authorId="0" shapeId="0">
      <text>
        <t>Q2-2025</t>
      </text>
    </comment>
    <comment ref="N29" authorId="0" shapeId="0">
      <text>
        <t>Q1-2026</t>
      </text>
    </comment>
    <comment ref="O29" authorId="0" shapeId="0">
      <text>
        <t>Q4-2025</t>
      </text>
    </comment>
    <comment ref="P29" authorId="0" shapeId="0">
      <text>
        <t>Q3-2025</t>
      </text>
    </comment>
    <comment ref="Q29" authorId="0" shapeId="0">
      <text>
        <t>Q2-2025</t>
      </text>
    </comment>
    <comment ref="G30" authorId="0" shapeId="0">
      <text>
        <t>Q1-2026</t>
      </text>
    </comment>
    <comment ref="H30" authorId="0" shapeId="0">
      <text>
        <t>Q4-2025</t>
      </text>
    </comment>
    <comment ref="I30" authorId="0" shapeId="0">
      <text>
        <t>Q3-2025</t>
      </text>
    </comment>
    <comment ref="J30" authorId="0" shapeId="0">
      <text>
        <t>Q2-2025</t>
      </text>
    </comment>
    <comment ref="N30" authorId="0" shapeId="0">
      <text>
        <t>Q1-2026</t>
      </text>
    </comment>
    <comment ref="O30" authorId="0" shapeId="0">
      <text>
        <t>Q4-2025</t>
      </text>
    </comment>
    <comment ref="P30" authorId="0" shapeId="0">
      <text>
        <t>Q3-2025</t>
      </text>
    </comment>
    <comment ref="Q30" authorId="0" shapeId="0">
      <text>
        <t>Q2-2025</t>
      </text>
    </comment>
    <comment ref="G31" authorId="0" shapeId="0">
      <text>
        <t>Q1-2026</t>
      </text>
    </comment>
    <comment ref="H31" authorId="0" shapeId="0">
      <text>
        <t>Q4-2025</t>
      </text>
    </comment>
    <comment ref="I31" authorId="0" shapeId="0">
      <text>
        <t>Q3-2025</t>
      </text>
    </comment>
    <comment ref="J31" authorId="0" shapeId="0">
      <text>
        <t>Q2-2025</t>
      </text>
    </comment>
    <comment ref="N31" authorId="0" shapeId="0">
      <text>
        <t>Q1-2026</t>
      </text>
    </comment>
    <comment ref="O31" authorId="0" shapeId="0">
      <text>
        <t>Q4-2025</t>
      </text>
    </comment>
    <comment ref="P31" authorId="0" shapeId="0">
      <text>
        <t>Q3-2025</t>
      </text>
    </comment>
    <comment ref="Q31" authorId="0" shapeId="0">
      <text>
        <t>Q2-2025</t>
      </text>
    </comment>
    <comment ref="G32" authorId="0" shapeId="0">
      <text>
        <t>Q1-2026</t>
      </text>
    </comment>
    <comment ref="H32" authorId="0" shapeId="0">
      <text>
        <t>Q4-2025</t>
      </text>
    </comment>
    <comment ref="I32" authorId="0" shapeId="0">
      <text>
        <t>Q3-2025</t>
      </text>
    </comment>
    <comment ref="J32" authorId="0" shapeId="0">
      <text>
        <t>Q2-2025</t>
      </text>
    </comment>
    <comment ref="N32" authorId="0" shapeId="0">
      <text>
        <t>Q1-2026</t>
      </text>
    </comment>
    <comment ref="O32" authorId="0" shapeId="0">
      <text>
        <t>Q4-2025</t>
      </text>
    </comment>
    <comment ref="P32" authorId="0" shapeId="0">
      <text>
        <t>Q3-2025</t>
      </text>
    </comment>
    <comment ref="Q32" authorId="0" shapeId="0">
      <text>
        <t>Q2-2025</t>
      </text>
    </comment>
    <comment ref="G33" authorId="0" shapeId="0">
      <text>
        <t>Q1-2026</t>
      </text>
    </comment>
    <comment ref="H33" authorId="0" shapeId="0">
      <text>
        <t>Q4-2025</t>
      </text>
    </comment>
    <comment ref="I33" authorId="0" shapeId="0">
      <text>
        <t>Q3-2025</t>
      </text>
    </comment>
    <comment ref="J33" authorId="0" shapeId="0">
      <text>
        <t>Q2-2025</t>
      </text>
    </comment>
    <comment ref="N33" authorId="0" shapeId="0">
      <text>
        <t>Q1-2026</t>
      </text>
    </comment>
    <comment ref="O33" authorId="0" shapeId="0">
      <text>
        <t>Q4-2025</t>
      </text>
    </comment>
    <comment ref="P33" authorId="0" shapeId="0">
      <text>
        <t>Q3-2025</t>
      </text>
    </comment>
    <comment ref="Q33" authorId="0" shapeId="0">
      <text>
        <t>Q2-2025</t>
      </text>
    </comment>
    <comment ref="G34" authorId="0" shapeId="0">
      <text>
        <t>Q1-2026</t>
      </text>
    </comment>
    <comment ref="H34" authorId="0" shapeId="0">
      <text>
        <t>Q4-2025</t>
      </text>
    </comment>
    <comment ref="I34" authorId="0" shapeId="0">
      <text>
        <t>Q3-2025</t>
      </text>
    </comment>
    <comment ref="J34" authorId="0" shapeId="0">
      <text>
        <t>Q2-2025</t>
      </text>
    </comment>
    <comment ref="N34" authorId="0" shapeId="0">
      <text>
        <t>Q1-2026</t>
      </text>
    </comment>
    <comment ref="O34" authorId="0" shapeId="0">
      <text>
        <t>Q4-2025</t>
      </text>
    </comment>
    <comment ref="P34" authorId="0" shapeId="0">
      <text>
        <t>Q3-2025</t>
      </text>
    </comment>
    <comment ref="Q34" authorId="0" shapeId="0">
      <text>
        <t>Q2-2025</t>
      </text>
    </comment>
    <comment ref="G35" authorId="0" shapeId="0">
      <text>
        <t>Q1-2026</t>
      </text>
    </comment>
    <comment ref="H35" authorId="0" shapeId="0">
      <text>
        <t>Q4-2025</t>
      </text>
    </comment>
    <comment ref="I35" authorId="0" shapeId="0">
      <text>
        <t>Q3-2025</t>
      </text>
    </comment>
    <comment ref="J35" authorId="0" shapeId="0">
      <text>
        <t>Q2-2025</t>
      </text>
    </comment>
    <comment ref="N35" authorId="0" shapeId="0">
      <text>
        <t>Q1-2026</t>
      </text>
    </comment>
    <comment ref="O35" authorId="0" shapeId="0">
      <text>
        <t>Q4-2025</t>
      </text>
    </comment>
    <comment ref="P35" authorId="0" shapeId="0">
      <text>
        <t>Q3-2025</t>
      </text>
    </comment>
    <comment ref="Q35" authorId="0" shapeId="0">
      <text>
        <t>Q2-2025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2" customWidth="1" min="19" max="19"/>
    <col width="22" customWidth="1" min="20" max="20"/>
    <col width="10" customWidth="1" min="21" max="21"/>
  </cols>
  <sheetData>
    <row r="1">
      <c r="A1" s="1" t="inlineStr">
        <is>
          <t>VN30 - Aggregate P/E Calculation (KQKD_14 vs KQKD_13 comparison)</t>
        </is>
      </c>
    </row>
    <row r="2">
      <c r="A2" s="2" t="inlineStr">
        <is>
          <t>As of: 2026-07-01    |    Blue = KQKD_14 priority (parent shareholders)    |    Green = KQKD_13 priority (consolidated incl. minority)</t>
        </is>
      </c>
    </row>
    <row r="3" ht="6" customHeight="1"/>
    <row r="4" ht="20" customHeight="1">
      <c r="A4" s="3" t="inlineStr">
        <is>
          <t>Shared Inputs</t>
        </is>
      </c>
      <c r="G4" s="4" t="inlineStr">
        <is>
          <t>KQKD_14 Priority  (parent-company shareholders)</t>
        </is>
      </c>
      <c r="N4" s="5" t="inlineStr">
        <is>
          <t>KQKD_13 Priority  (consolidated incl. minority interest)</t>
        </is>
      </c>
      <c r="T4" s="3" t="inlineStr">
        <is>
          <t>Info</t>
        </is>
      </c>
    </row>
    <row r="5" ht="40" customHeight="1">
      <c r="A5" s="6" t="inlineStr">
        <is>
          <t>Symbol</t>
        </is>
      </c>
      <c r="B5" s="6" t="inlineStr">
        <is>
          <t>Price
(VND)</t>
        </is>
      </c>
      <c r="C5" s="6" t="inlineStr">
        <is>
          <t>Shares</t>
        </is>
      </c>
      <c r="D5" s="6" t="inlineStr">
        <is>
          <t>TTM KQKD_14
(VND)</t>
        </is>
      </c>
      <c r="E5" s="6" t="inlineStr">
        <is>
          <t>TTM KQKD_13
(VND)</t>
        </is>
      </c>
      <c r="F5" s="6" t="inlineStr">
        <is>
          <t>TTM KQKD_10
(VND)</t>
        </is>
      </c>
      <c r="G5" s="7" t="inlineStr">
        <is>
          <t>Q1 (latest)
(VND)</t>
        </is>
      </c>
      <c r="H5" s="7" t="inlineStr">
        <is>
          <t>Q2
(VND)</t>
        </is>
      </c>
      <c r="I5" s="7" t="inlineStr">
        <is>
          <t>Q3
(VND)</t>
        </is>
      </c>
      <c r="J5" s="7" t="inlineStr">
        <is>
          <t>Q4 (oldest)
(VND)</t>
        </is>
      </c>
      <c r="K5" s="7" t="inlineStr">
        <is>
          <t>Net Profit
=SUM(Q1:Q4)</t>
        </is>
      </c>
      <c r="L5" s="7" t="inlineStr">
        <is>
          <t>Market Cap
(VND)</t>
        </is>
      </c>
      <c r="M5" s="7" t="inlineStr">
        <is>
          <t>P/E
[14 priority]</t>
        </is>
      </c>
      <c r="N5" s="8" t="inlineStr">
        <is>
          <t>Q1 (latest)
(VND)</t>
        </is>
      </c>
      <c r="O5" s="8" t="inlineStr">
        <is>
          <t>Q2
(VND)</t>
        </is>
      </c>
      <c r="P5" s="8" t="inlineStr">
        <is>
          <t>Q3
(VND)</t>
        </is>
      </c>
      <c r="Q5" s="8" t="inlineStr">
        <is>
          <t>Q4 (oldest)
(VND)</t>
        </is>
      </c>
      <c r="R5" s="8" t="inlineStr">
        <is>
          <t>Net Profit
=SUM(Q1:Q4)</t>
        </is>
      </c>
      <c r="S5" s="8" t="inlineStr">
        <is>
          <t>P/E
[13 priority]</t>
        </is>
      </c>
      <c r="T5" s="6" t="inlineStr">
        <is>
          <t>TTM Range</t>
        </is>
      </c>
      <c r="U5" s="6" t="inlineStr">
        <is>
          <t>Weight</t>
        </is>
      </c>
    </row>
    <row r="6">
      <c r="A6" s="9" t="inlineStr">
        <is>
          <t>ACB</t>
        </is>
      </c>
      <c r="B6" s="10" t="n">
        <v>22650</v>
      </c>
      <c r="C6" s="10" t="n">
        <v>5136656600</v>
      </c>
      <c r="D6" s="10" t="n">
        <v>16266811000000</v>
      </c>
      <c r="E6" s="10" t="n">
        <v>16266811000000</v>
      </c>
      <c r="F6" s="10" t="n">
        <v>23704940000000</v>
      </c>
      <c r="G6" s="10" t="n">
        <v>4320388000000</v>
      </c>
      <c r="H6" s="10" t="n">
        <v>2784685000000</v>
      </c>
      <c r="I6" s="10" t="n">
        <v>4280589000000</v>
      </c>
      <c r="J6" s="10" t="n">
        <v>4881149000000</v>
      </c>
      <c r="K6" s="11">
        <f>SUM(G6:J6)</f>
        <v/>
      </c>
      <c r="L6" s="11">
        <f>B6*C6</f>
        <v/>
      </c>
      <c r="M6" s="12">
        <f>IF(K6&lt;&gt;0,L6/K6,"")</f>
        <v/>
      </c>
      <c r="N6" s="10" t="n">
        <v>4320388000000</v>
      </c>
      <c r="O6" s="10" t="n">
        <v>2784685000000</v>
      </c>
      <c r="P6" s="10" t="n">
        <v>4280589000000</v>
      </c>
      <c r="Q6" s="10" t="n">
        <v>4881149000000</v>
      </c>
      <c r="R6" s="11">
        <f>SUM(N6:Q6)</f>
        <v/>
      </c>
      <c r="S6" s="12">
        <f>IF(R6&lt;&gt;0,L6/R6,"")</f>
        <v/>
      </c>
      <c r="T6" s="13" t="inlineStr">
        <is>
          <t>Q2-2025 to Q1-2026</t>
        </is>
      </c>
      <c r="U6" s="14">
        <f>L6/L36</f>
        <v/>
      </c>
    </row>
    <row r="7">
      <c r="A7" s="15" t="inlineStr">
        <is>
          <t>BID</t>
        </is>
      </c>
      <c r="B7" s="16" t="n">
        <v>43050</v>
      </c>
      <c r="C7" s="16" t="n">
        <v>7280065200</v>
      </c>
      <c r="D7" s="16" t="n">
        <v>30918204000000</v>
      </c>
      <c r="E7" s="16" t="n">
        <v>31409069000000</v>
      </c>
      <c r="F7" s="16" t="n">
        <v>62937560000000</v>
      </c>
      <c r="G7" s="16" t="n">
        <v>6800834000000</v>
      </c>
      <c r="H7" s="16" t="n">
        <v>11408624000000</v>
      </c>
      <c r="I7" s="16" t="n">
        <v>5952964000000</v>
      </c>
      <c r="J7" s="16" t="n">
        <v>6755782000000</v>
      </c>
      <c r="K7" s="17">
        <f>SUM(G7:J7)</f>
        <v/>
      </c>
      <c r="L7" s="17">
        <f>B7*C7</f>
        <v/>
      </c>
      <c r="M7" s="18">
        <f>IF(K7&lt;&gt;0,L7/K7,"")</f>
        <v/>
      </c>
      <c r="N7" s="19" t="n">
        <v>6878794000000</v>
      </c>
      <c r="O7" s="19" t="n">
        <v>11542620000000</v>
      </c>
      <c r="P7" s="19" t="n">
        <v>6086910000000</v>
      </c>
      <c r="Q7" s="19" t="n">
        <v>6900745000000</v>
      </c>
      <c r="R7" s="20">
        <f>SUM(N7:Q7)</f>
        <v/>
      </c>
      <c r="S7" s="21">
        <f>IF(R7&lt;&gt;0,L7/R7,"")</f>
        <v/>
      </c>
      <c r="T7" s="22" t="inlineStr">
        <is>
          <t>Q2-2025 to Q1-2026</t>
        </is>
      </c>
      <c r="U7" s="23">
        <f>L7/L36</f>
        <v/>
      </c>
    </row>
    <row r="8">
      <c r="A8" s="9" t="inlineStr">
        <is>
          <t>BSR</t>
        </is>
      </c>
      <c r="B8" s="10" t="n">
        <v>25450</v>
      </c>
      <c r="C8" s="10" t="n">
        <v>5007299686</v>
      </c>
      <c r="D8" s="10" t="n">
        <v>13052161481902</v>
      </c>
      <c r="E8" s="10" t="n">
        <v>13055575926887</v>
      </c>
      <c r="F8" s="10" t="n">
        <v>20674009144</v>
      </c>
      <c r="G8" s="10" t="n">
        <v>8264713781616</v>
      </c>
      <c r="H8" s="10" t="n">
        <v>3034013069975</v>
      </c>
      <c r="I8" s="10" t="n">
        <v>907545618973</v>
      </c>
      <c r="J8" s="10" t="n">
        <v>845889011338</v>
      </c>
      <c r="K8" s="11">
        <f>SUM(G8:J8)</f>
        <v/>
      </c>
      <c r="L8" s="11">
        <f>B8*C8</f>
        <v/>
      </c>
      <c r="M8" s="12">
        <f>IF(K8&lt;&gt;0,L8/K8,"")</f>
        <v/>
      </c>
      <c r="N8" s="10" t="n">
        <v>8265520701385</v>
      </c>
      <c r="O8" s="10" t="n">
        <v>3034548007464</v>
      </c>
      <c r="P8" s="10" t="n">
        <v>908594978790</v>
      </c>
      <c r="Q8" s="10" t="n">
        <v>846912239248</v>
      </c>
      <c r="R8" s="11">
        <f>SUM(N8:Q8)</f>
        <v/>
      </c>
      <c r="S8" s="12">
        <f>IF(R8&lt;&gt;0,L8/R8,"")</f>
        <v/>
      </c>
      <c r="T8" s="13" t="inlineStr">
        <is>
          <t>Q2-2025 to Q1-2026</t>
        </is>
      </c>
      <c r="U8" s="14">
        <f>L8/L36</f>
        <v/>
      </c>
    </row>
    <row r="9">
      <c r="A9" s="15" t="inlineStr">
        <is>
          <t>CTG</t>
        </is>
      </c>
      <c r="B9" s="16" t="n">
        <v>34400</v>
      </c>
      <c r="C9" s="16" t="n">
        <v>7766944600</v>
      </c>
      <c r="D9" s="16" t="n">
        <v>29171790916979</v>
      </c>
      <c r="E9" s="16" t="n">
        <v>29358063960041</v>
      </c>
      <c r="F9" s="16" t="n">
        <v>45809868840291</v>
      </c>
      <c r="G9" s="16" t="n">
        <v>8916979</v>
      </c>
      <c r="H9" s="16" t="n">
        <v>11053113000000</v>
      </c>
      <c r="I9" s="16" t="n">
        <v>8448784000000</v>
      </c>
      <c r="J9" s="16" t="n">
        <v>9669885000000</v>
      </c>
      <c r="K9" s="17">
        <f>SUM(G9:J9)</f>
        <v/>
      </c>
      <c r="L9" s="17">
        <f>B9*C9</f>
        <v/>
      </c>
      <c r="M9" s="18">
        <f>IF(K9&lt;&gt;0,L9/K9,"")</f>
        <v/>
      </c>
      <c r="N9" s="19" t="n">
        <v>8960041</v>
      </c>
      <c r="O9" s="19" t="n">
        <v>11093587000000</v>
      </c>
      <c r="P9" s="19" t="n">
        <v>8512463000000</v>
      </c>
      <c r="Q9" s="19" t="n">
        <v>9752005000000</v>
      </c>
      <c r="R9" s="20">
        <f>SUM(N9:Q9)</f>
        <v/>
      </c>
      <c r="S9" s="21">
        <f>IF(R9&lt;&gt;0,L9/R9,"")</f>
        <v/>
      </c>
      <c r="T9" s="22" t="inlineStr">
        <is>
          <t>Q2-2025 to Q1-2026</t>
        </is>
      </c>
      <c r="U9" s="23">
        <f>L9/L36</f>
        <v/>
      </c>
    </row>
    <row r="10">
      <c r="A10" s="9" t="inlineStr">
        <is>
          <t>FPT</t>
        </is>
      </c>
      <c r="B10" s="10" t="n">
        <v>72900</v>
      </c>
      <c r="C10" s="10" t="n">
        <v>1703507121</v>
      </c>
      <c r="D10" s="10" t="n">
        <v>9682350658815</v>
      </c>
      <c r="E10" s="10" t="n">
        <v>11106726226538</v>
      </c>
      <c r="F10" s="10" t="n">
        <v>117186415547</v>
      </c>
      <c r="G10" s="10" t="n">
        <v>2487371587099</v>
      </c>
      <c r="H10" s="10" t="n">
        <v>2502704371686</v>
      </c>
      <c r="I10" s="10" t="n">
        <v>2434841434732</v>
      </c>
      <c r="J10" s="10" t="n">
        <v>2257433265298</v>
      </c>
      <c r="K10" s="11">
        <f>SUM(G10:J10)</f>
        <v/>
      </c>
      <c r="L10" s="11">
        <f>B10*C10</f>
        <v/>
      </c>
      <c r="M10" s="12">
        <f>IF(K10&lt;&gt;0,L10/K10,"")</f>
        <v/>
      </c>
      <c r="N10" s="10" t="n">
        <v>2476789833481</v>
      </c>
      <c r="O10" s="10" t="n">
        <v>2988148562554</v>
      </c>
      <c r="P10" s="10" t="n">
        <v>2901545752650</v>
      </c>
      <c r="Q10" s="10" t="n">
        <v>2740242077853</v>
      </c>
      <c r="R10" s="11">
        <f>SUM(N10:Q10)</f>
        <v/>
      </c>
      <c r="S10" s="12">
        <f>IF(R10&lt;&gt;0,L10/R10,"")</f>
        <v/>
      </c>
      <c r="T10" s="13" t="inlineStr">
        <is>
          <t>Q2-2025 to Q1-2026</t>
        </is>
      </c>
      <c r="U10" s="14">
        <f>L10/L36</f>
        <v/>
      </c>
    </row>
    <row r="11">
      <c r="A11" s="15" t="inlineStr">
        <is>
          <t>GAS</t>
        </is>
      </c>
      <c r="B11" s="16" t="n">
        <v>78000</v>
      </c>
      <c r="C11" s="16" t="n">
        <v>2412949756</v>
      </c>
      <c r="D11" s="16" t="n">
        <v>11602412047900</v>
      </c>
      <c r="E11" s="16" t="n">
        <v>11802964008113</v>
      </c>
      <c r="F11" s="16" t="n">
        <v>-20385138381</v>
      </c>
      <c r="G11" s="16" t="n">
        <v>2944603136328</v>
      </c>
      <c r="H11" s="16" t="n">
        <v>1361084899485</v>
      </c>
      <c r="I11" s="16" t="n">
        <v>2549118933504</v>
      </c>
      <c r="J11" s="16" t="n">
        <v>4747605078583</v>
      </c>
      <c r="K11" s="17">
        <f>SUM(G11:J11)</f>
        <v/>
      </c>
      <c r="L11" s="17">
        <f>B11*C11</f>
        <v/>
      </c>
      <c r="M11" s="18">
        <f>IF(K11&lt;&gt;0,L11/K11,"")</f>
        <v/>
      </c>
      <c r="N11" s="19" t="n">
        <v>2994115272577</v>
      </c>
      <c r="O11" s="19" t="n">
        <v>1387429975481</v>
      </c>
      <c r="P11" s="19" t="n">
        <v>2612819725552</v>
      </c>
      <c r="Q11" s="19" t="n">
        <v>4808599034503</v>
      </c>
      <c r="R11" s="20">
        <f>SUM(N11:Q11)</f>
        <v/>
      </c>
      <c r="S11" s="21">
        <f>IF(R11&lt;&gt;0,L11/R11,"")</f>
        <v/>
      </c>
      <c r="T11" s="22" t="inlineStr">
        <is>
          <t>Q2-2025 to Q1-2026</t>
        </is>
      </c>
      <c r="U11" s="23">
        <f>L11/L36</f>
        <v/>
      </c>
    </row>
    <row r="12">
      <c r="A12" s="9" t="inlineStr">
        <is>
          <t>GVR</t>
        </is>
      </c>
      <c r="B12" s="10" t="n">
        <v>33150</v>
      </c>
      <c r="C12" s="10" t="n">
        <v>4000000000</v>
      </c>
      <c r="D12" s="10" t="n">
        <v>6553014745751</v>
      </c>
      <c r="E12" s="10" t="n">
        <v>7360288606451</v>
      </c>
      <c r="F12" s="10" t="n">
        <v>2040448557348</v>
      </c>
      <c r="G12" s="10" t="n">
        <v>2250751648382</v>
      </c>
      <c r="H12" s="10" t="n">
        <v>1001028183272</v>
      </c>
      <c r="I12" s="10" t="n">
        <v>1897263225431</v>
      </c>
      <c r="J12" s="10" t="n">
        <v>1403971688666</v>
      </c>
      <c r="K12" s="11">
        <f>SUM(G12:J12)</f>
        <v/>
      </c>
      <c r="L12" s="11">
        <f>B12*C12</f>
        <v/>
      </c>
      <c r="M12" s="12">
        <f>IF(K12&lt;&gt;0,L12/K12,"")</f>
        <v/>
      </c>
      <c r="N12" s="10" t="n">
        <v>2513382444521</v>
      </c>
      <c r="O12" s="10" t="n">
        <v>1135974706299</v>
      </c>
      <c r="P12" s="10" t="n">
        <v>2187281385238</v>
      </c>
      <c r="Q12" s="10" t="n">
        <v>1523650070393</v>
      </c>
      <c r="R12" s="11">
        <f>SUM(N12:Q12)</f>
        <v/>
      </c>
      <c r="S12" s="12">
        <f>IF(R12&lt;&gt;0,L12/R12,"")</f>
        <v/>
      </c>
      <c r="T12" s="13" t="inlineStr">
        <is>
          <t>Q2-2025 to Q1-2026</t>
        </is>
      </c>
      <c r="U12" s="14">
        <f>L12/L36</f>
        <v/>
      </c>
    </row>
    <row r="13">
      <c r="A13" s="15" t="inlineStr">
        <is>
          <t>HDB</t>
        </is>
      </c>
      <c r="B13" s="16" t="n">
        <v>26600</v>
      </c>
      <c r="C13" s="16" t="n">
        <v>5005276300</v>
      </c>
      <c r="D13" s="16" t="n">
        <v>17035358000000</v>
      </c>
      <c r="E13" s="16" t="n">
        <v>17597172000000</v>
      </c>
      <c r="F13" s="16" t="n">
        <v>31758550000000</v>
      </c>
      <c r="G13" s="16" t="n">
        <v>4766642000000</v>
      </c>
      <c r="H13" s="16" t="n">
        <v>5107218000000</v>
      </c>
      <c r="I13" s="16" t="n">
        <v>3646638000000</v>
      </c>
      <c r="J13" s="16" t="n">
        <v>3514860000000</v>
      </c>
      <c r="K13" s="17">
        <f>SUM(G13:J13)</f>
        <v/>
      </c>
      <c r="L13" s="17">
        <f>B13*C13</f>
        <v/>
      </c>
      <c r="M13" s="18">
        <f>IF(K13&lt;&gt;0,L13/K13,"")</f>
        <v/>
      </c>
      <c r="N13" s="19" t="n">
        <v>4902140000000</v>
      </c>
      <c r="O13" s="19" t="n">
        <v>5220156000000</v>
      </c>
      <c r="P13" s="19" t="n">
        <v>3798817000000</v>
      </c>
      <c r="Q13" s="19" t="n">
        <v>3676059000000</v>
      </c>
      <c r="R13" s="20">
        <f>SUM(N13:Q13)</f>
        <v/>
      </c>
      <c r="S13" s="21">
        <f>IF(R13&lt;&gt;0,L13/R13,"")</f>
        <v/>
      </c>
      <c r="T13" s="22" t="inlineStr">
        <is>
          <t>Q2-2025 to Q1-2026</t>
        </is>
      </c>
      <c r="U13" s="23">
        <f>L13/L36</f>
        <v/>
      </c>
    </row>
    <row r="14">
      <c r="A14" s="9" t="inlineStr">
        <is>
          <t>HPG</t>
        </is>
      </c>
      <c r="B14" s="10" t="n">
        <v>23450</v>
      </c>
      <c r="C14" s="10" t="n">
        <v>7675465855</v>
      </c>
      <c r="D14" s="10" t="n">
        <v>21100070943732</v>
      </c>
      <c r="E14" s="10" t="n">
        <v>21221044355545</v>
      </c>
      <c r="F14" s="10" t="n">
        <v>159725028200</v>
      </c>
      <c r="G14" s="10" t="n">
        <v>8994003244142</v>
      </c>
      <c r="H14" s="10" t="n">
        <v>3860994446656</v>
      </c>
      <c r="I14" s="10" t="n">
        <v>3988318474539</v>
      </c>
      <c r="J14" s="10" t="n">
        <v>4256754778395</v>
      </c>
      <c r="K14" s="11">
        <f>SUM(G14:J14)</f>
        <v/>
      </c>
      <c r="L14" s="11">
        <f>B14*C14</f>
        <v/>
      </c>
      <c r="M14" s="12">
        <f>IF(K14&lt;&gt;0,L14/K14,"")</f>
        <v/>
      </c>
      <c r="N14" s="10" t="n">
        <v>9055918200023</v>
      </c>
      <c r="O14" s="10" t="n">
        <v>3888349733267</v>
      </c>
      <c r="P14" s="10" t="n">
        <v>4012252316723</v>
      </c>
      <c r="Q14" s="10" t="n">
        <v>4264524105532</v>
      </c>
      <c r="R14" s="11">
        <f>SUM(N14:Q14)</f>
        <v/>
      </c>
      <c r="S14" s="12">
        <f>IF(R14&lt;&gt;0,L14/R14,"")</f>
        <v/>
      </c>
      <c r="T14" s="13" t="inlineStr">
        <is>
          <t>Q2-2025 to Q1-2026</t>
        </is>
      </c>
      <c r="U14" s="14">
        <f>L14/L36</f>
        <v/>
      </c>
    </row>
    <row r="15">
      <c r="A15" s="15" t="inlineStr">
        <is>
          <t>LPB</t>
        </is>
      </c>
      <c r="B15" s="16" t="n">
        <v>53100</v>
      </c>
      <c r="C15" s="16" t="n">
        <v>2987282100</v>
      </c>
      <c r="D15" s="16" t="n">
        <v>11167664000000</v>
      </c>
      <c r="E15" s="16" t="n">
        <v>11167664000000</v>
      </c>
      <c r="F15" s="16" t="n">
        <v>15918328000000</v>
      </c>
      <c r="G15" s="16" t="n">
        <v>2279191000000</v>
      </c>
      <c r="H15" s="16" t="n">
        <v>3730588000000</v>
      </c>
      <c r="I15" s="16" t="n">
        <v>2762014000000</v>
      </c>
      <c r="J15" s="16" t="n">
        <v>2395871000000</v>
      </c>
      <c r="K15" s="17">
        <f>SUM(G15:J15)</f>
        <v/>
      </c>
      <c r="L15" s="17">
        <f>B15*C15</f>
        <v/>
      </c>
      <c r="M15" s="18">
        <f>IF(K15&lt;&gt;0,L15/K15,"")</f>
        <v/>
      </c>
      <c r="N15" s="19" t="n">
        <v>2279191000000</v>
      </c>
      <c r="O15" s="19" t="n">
        <v>3730588000000</v>
      </c>
      <c r="P15" s="19" t="n">
        <v>2762014000000</v>
      </c>
      <c r="Q15" s="19" t="n">
        <v>2395871000000</v>
      </c>
      <c r="R15" s="20">
        <f>SUM(N15:Q15)</f>
        <v/>
      </c>
      <c r="S15" s="21">
        <f>IF(R15&lt;&gt;0,L15/R15,"")</f>
        <v/>
      </c>
      <c r="T15" s="22" t="inlineStr">
        <is>
          <t>Q2-2025 to Q1-2026</t>
        </is>
      </c>
      <c r="U15" s="23">
        <f>L15/L36</f>
        <v/>
      </c>
    </row>
    <row r="16">
      <c r="A16" s="9" t="inlineStr">
        <is>
          <t>MBB</t>
        </is>
      </c>
      <c r="B16" s="10" t="n">
        <v>25750</v>
      </c>
      <c r="C16" s="10" t="n">
        <v>8054999900</v>
      </c>
      <c r="D16" s="10" t="n">
        <v>27726712000000</v>
      </c>
      <c r="E16" s="10" t="n">
        <v>28410819000000</v>
      </c>
      <c r="F16" s="10" t="n">
        <v>49722327000000</v>
      </c>
      <c r="G16" s="10" t="n">
        <v>7515513000000</v>
      </c>
      <c r="H16" s="10" t="n">
        <v>8762570000000</v>
      </c>
      <c r="I16" s="10" t="n">
        <v>5571024000000</v>
      </c>
      <c r="J16" s="10" t="n">
        <v>5877605000000</v>
      </c>
      <c r="K16" s="11">
        <f>SUM(G16:J16)</f>
        <v/>
      </c>
      <c r="L16" s="11">
        <f>B16*C16</f>
        <v/>
      </c>
      <c r="M16" s="12">
        <f>IF(K16&lt;&gt;0,L16/K16,"")</f>
        <v/>
      </c>
      <c r="N16" s="10" t="n">
        <v>7702720000000</v>
      </c>
      <c r="O16" s="10" t="n">
        <v>8902952000000</v>
      </c>
      <c r="P16" s="10" t="n">
        <v>5800441000000</v>
      </c>
      <c r="Q16" s="10" t="n">
        <v>6004706000000</v>
      </c>
      <c r="R16" s="11">
        <f>SUM(N16:Q16)</f>
        <v/>
      </c>
      <c r="S16" s="12">
        <f>IF(R16&lt;&gt;0,L16/R16,"")</f>
        <v/>
      </c>
      <c r="T16" s="13" t="inlineStr">
        <is>
          <t>Q2-2025 to Q1-2026</t>
        </is>
      </c>
      <c r="U16" s="14">
        <f>L16/L36</f>
        <v/>
      </c>
    </row>
    <row r="17">
      <c r="A17" s="15" t="inlineStr">
        <is>
          <t>MSN</t>
        </is>
      </c>
      <c r="B17" s="16" t="n">
        <v>72500</v>
      </c>
      <c r="C17" s="16" t="n">
        <v>1520492000</v>
      </c>
      <c r="D17" s="16" t="n">
        <v>4960600000000</v>
      </c>
      <c r="E17" s="16" t="n">
        <v>7754048000000</v>
      </c>
      <c r="F17" s="16" t="n">
        <v>264434000000</v>
      </c>
      <c r="G17" s="16" t="n">
        <v>1245794000000</v>
      </c>
      <c r="H17" s="16" t="n">
        <v>1473959000000</v>
      </c>
      <c r="I17" s="16" t="n">
        <v>1208655000000</v>
      </c>
      <c r="J17" s="16" t="n">
        <v>1032192000000</v>
      </c>
      <c r="K17" s="17">
        <f>SUM(G17:J17)</f>
        <v/>
      </c>
      <c r="L17" s="17">
        <f>B17*C17</f>
        <v/>
      </c>
      <c r="M17" s="18">
        <f>IF(K17&lt;&gt;0,L17/K17,"")</f>
        <v/>
      </c>
      <c r="N17" s="19" t="n">
        <v>1973577000000</v>
      </c>
      <c r="O17" s="19" t="n">
        <v>2295343000000</v>
      </c>
      <c r="P17" s="19" t="n">
        <v>1865752000000</v>
      </c>
      <c r="Q17" s="19" t="n">
        <v>1619376000000</v>
      </c>
      <c r="R17" s="20">
        <f>SUM(N17:Q17)</f>
        <v/>
      </c>
      <c r="S17" s="21">
        <f>IF(R17&lt;&gt;0,L17/R17,"")</f>
        <v/>
      </c>
      <c r="T17" s="22" t="inlineStr">
        <is>
          <t>Q2-2025 to Q1-2026</t>
        </is>
      </c>
      <c r="U17" s="23">
        <f>L17/L36</f>
        <v/>
      </c>
    </row>
    <row r="18">
      <c r="A18" s="9" t="inlineStr">
        <is>
          <t>MWG</t>
        </is>
      </c>
      <c r="B18" s="10" t="n">
        <v>80000</v>
      </c>
      <c r="C18" s="10" t="n">
        <v>1469693177</v>
      </c>
      <c r="D18" s="10" t="n">
        <v>8205122285287</v>
      </c>
      <c r="E18" s="10" t="n">
        <v>8285243890679</v>
      </c>
      <c r="F18" s="10" t="n">
        <v>-45008646859</v>
      </c>
      <c r="G18" s="10" t="n">
        <v>2714430853106</v>
      </c>
      <c r="H18" s="10" t="n">
        <v>2071646268173</v>
      </c>
      <c r="I18" s="10" t="n">
        <v>1770898917304</v>
      </c>
      <c r="J18" s="10" t="n">
        <v>1648146246704</v>
      </c>
      <c r="K18" s="11">
        <f>SUM(G18:J18)</f>
        <v/>
      </c>
      <c r="L18" s="11">
        <f>B18*C18</f>
        <v/>
      </c>
      <c r="M18" s="12">
        <f>IF(K18&lt;&gt;0,L18/K18,"")</f>
        <v/>
      </c>
      <c r="N18" s="10" t="n">
        <v>2757557020527</v>
      </c>
      <c r="O18" s="10" t="n">
        <v>2086492115257</v>
      </c>
      <c r="P18" s="10" t="n">
        <v>1783665633985</v>
      </c>
      <c r="Q18" s="10" t="n">
        <v>1657529120910</v>
      </c>
      <c r="R18" s="11">
        <f>SUM(N18:Q18)</f>
        <v/>
      </c>
      <c r="S18" s="12">
        <f>IF(R18&lt;&gt;0,L18/R18,"")</f>
        <v/>
      </c>
      <c r="T18" s="13" t="inlineStr">
        <is>
          <t>Q2-2025 to Q1-2026</t>
        </is>
      </c>
      <c r="U18" s="14">
        <f>L18/L36</f>
        <v/>
      </c>
    </row>
    <row r="19">
      <c r="A19" s="15" t="inlineStr">
        <is>
          <t>PLX</t>
        </is>
      </c>
      <c r="B19" s="16" t="n">
        <v>37450</v>
      </c>
      <c r="C19" s="16" t="n">
        <v>1293878081</v>
      </c>
      <c r="D19" s="16" t="n">
        <v>1717109263804</v>
      </c>
      <c r="E19" s="16" t="n">
        <v>2108739642031</v>
      </c>
      <c r="F19" s="16" t="n">
        <v>46536575775</v>
      </c>
      <c r="G19" s="16" t="n">
        <v>-762973681188</v>
      </c>
      <c r="H19" s="16" t="n">
        <v>585651218513</v>
      </c>
      <c r="I19" s="16" t="n">
        <v>610701186200</v>
      </c>
      <c r="J19" s="16" t="n">
        <v>1283730540279</v>
      </c>
      <c r="K19" s="17">
        <f>SUM(G19:J19)</f>
        <v/>
      </c>
      <c r="L19" s="17">
        <f>B19*C19</f>
        <v/>
      </c>
      <c r="M19" s="18">
        <f>IF(K19&lt;&gt;0,L19/K19,"")</f>
        <v/>
      </c>
      <c r="N19" s="19" t="n">
        <v>-662477125907</v>
      </c>
      <c r="O19" s="19" t="n">
        <v>696927885625</v>
      </c>
      <c r="P19" s="19" t="n">
        <v>705970238434</v>
      </c>
      <c r="Q19" s="19" t="n">
        <v>1368318643879</v>
      </c>
      <c r="R19" s="20">
        <f>SUM(N19:Q19)</f>
        <v/>
      </c>
      <c r="S19" s="21">
        <f>IF(R19&lt;&gt;0,L19/R19,"")</f>
        <v/>
      </c>
      <c r="T19" s="22" t="inlineStr">
        <is>
          <t>Q2-2025 to Q1-2026</t>
        </is>
      </c>
      <c r="U19" s="23">
        <f>L19/L36</f>
        <v/>
      </c>
    </row>
    <row r="20">
      <c r="A20" s="9" t="inlineStr">
        <is>
          <t>SAB</t>
        </is>
      </c>
      <c r="B20" s="10" t="n">
        <v>48350</v>
      </c>
      <c r="C20" s="10" t="n">
        <v>1282562372</v>
      </c>
      <c r="D20" s="10" t="n">
        <v>4815264674004</v>
      </c>
      <c r="E20" s="10" t="n">
        <v>5018933776743</v>
      </c>
      <c r="F20" s="10" t="n">
        <v>106829615798</v>
      </c>
      <c r="G20" s="10" t="n">
        <v>1184838235961</v>
      </c>
      <c r="H20" s="10" t="n">
        <v>1062388614644</v>
      </c>
      <c r="I20" s="10" t="n">
        <v>1360541153913</v>
      </c>
      <c r="J20" s="10" t="n">
        <v>1207496669486</v>
      </c>
      <c r="K20" s="11">
        <f>SUM(G20:J20)</f>
        <v/>
      </c>
      <c r="L20" s="11">
        <f>B20*C20</f>
        <v/>
      </c>
      <c r="M20" s="12">
        <f>IF(K20&lt;&gt;0,L20/K20,"")</f>
        <v/>
      </c>
      <c r="N20" s="10" t="n">
        <v>1245443936996</v>
      </c>
      <c r="O20" s="10" t="n">
        <v>1119088558720</v>
      </c>
      <c r="P20" s="10" t="n">
        <v>1403724992261</v>
      </c>
      <c r="Q20" s="10" t="n">
        <v>1250676288766</v>
      </c>
      <c r="R20" s="11">
        <f>SUM(N20:Q20)</f>
        <v/>
      </c>
      <c r="S20" s="12">
        <f>IF(R20&lt;&gt;0,L20/R20,"")</f>
        <v/>
      </c>
      <c r="T20" s="13" t="inlineStr">
        <is>
          <t>Q2-2025 to Q1-2026</t>
        </is>
      </c>
      <c r="U20" s="14">
        <f>L20/L36</f>
        <v/>
      </c>
    </row>
    <row r="21">
      <c r="A21" s="15" t="inlineStr">
        <is>
          <t>SHB</t>
        </is>
      </c>
      <c r="B21" s="16" t="n">
        <v>13700</v>
      </c>
      <c r="C21" s="16" t="n">
        <v>4594200000</v>
      </c>
      <c r="D21" s="16" t="n">
        <v>12199134000000</v>
      </c>
      <c r="E21" s="16" t="n">
        <v>12199134000000</v>
      </c>
      <c r="F21" s="16" t="n">
        <v>23335317000000</v>
      </c>
      <c r="G21" s="16" t="n">
        <v>3725963000000</v>
      </c>
      <c r="H21" s="16" t="n">
        <v>2259937000000</v>
      </c>
      <c r="I21" s="16" t="n">
        <v>2606723000000</v>
      </c>
      <c r="J21" s="16" t="n">
        <v>3606511000000</v>
      </c>
      <c r="K21" s="17">
        <f>SUM(G21:J21)</f>
        <v/>
      </c>
      <c r="L21" s="17">
        <f>B21*C21</f>
        <v/>
      </c>
      <c r="M21" s="18">
        <f>IF(K21&lt;&gt;0,L21/K21,"")</f>
        <v/>
      </c>
      <c r="N21" s="19" t="n">
        <v>3725963000000</v>
      </c>
      <c r="O21" s="19" t="n">
        <v>2259937000000</v>
      </c>
      <c r="P21" s="19" t="n">
        <v>2606723000000</v>
      </c>
      <c r="Q21" s="19" t="n">
        <v>3606511000000</v>
      </c>
      <c r="R21" s="20">
        <f>SUM(N21:Q21)</f>
        <v/>
      </c>
      <c r="S21" s="21">
        <f>IF(R21&lt;&gt;0,L21/R21,"")</f>
        <v/>
      </c>
      <c r="T21" s="22" t="inlineStr">
        <is>
          <t>Q2-2025 to Q1-2026</t>
        </is>
      </c>
      <c r="U21" s="23">
        <f>L21/L36</f>
        <v/>
      </c>
    </row>
    <row r="22">
      <c r="A22" s="9" t="inlineStr">
        <is>
          <t>SSB</t>
        </is>
      </c>
      <c r="B22" s="10" t="n">
        <v>16500</v>
      </c>
      <c r="C22" s="10" t="n">
        <v>2845000000</v>
      </c>
      <c r="D22" s="10" t="n">
        <v>3200584000000</v>
      </c>
      <c r="E22" s="10" t="n">
        <v>3200584000000</v>
      </c>
      <c r="F22" s="10" t="n">
        <v>6721982000000</v>
      </c>
      <c r="G22" s="10" t="n">
        <v>1110630000000</v>
      </c>
      <c r="H22" s="10" t="n">
        <v>104289000000</v>
      </c>
      <c r="I22" s="10" t="n">
        <v>779490000000</v>
      </c>
      <c r="J22" s="10" t="n">
        <v>1206175000000</v>
      </c>
      <c r="K22" s="11">
        <f>SUM(G22:J22)</f>
        <v/>
      </c>
      <c r="L22" s="11">
        <f>B22*C22</f>
        <v/>
      </c>
      <c r="M22" s="12">
        <f>IF(K22&lt;&gt;0,L22/K22,"")</f>
        <v/>
      </c>
      <c r="N22" s="10" t="n">
        <v>1110630000000</v>
      </c>
      <c r="O22" s="10" t="n">
        <v>104289000000</v>
      </c>
      <c r="P22" s="10" t="n">
        <v>779490000000</v>
      </c>
      <c r="Q22" s="10" t="n">
        <v>1206175000000</v>
      </c>
      <c r="R22" s="11">
        <f>SUM(N22:Q22)</f>
        <v/>
      </c>
      <c r="S22" s="12">
        <f>IF(R22&lt;&gt;0,L22/R22,"")</f>
        <v/>
      </c>
      <c r="T22" s="13" t="inlineStr">
        <is>
          <t>Q2-2025 to Q1-2026</t>
        </is>
      </c>
      <c r="U22" s="14">
        <f>L22/L36</f>
        <v/>
      </c>
    </row>
    <row r="23">
      <c r="A23" s="15" t="inlineStr">
        <is>
          <t>SSI</t>
        </is>
      </c>
      <c r="B23" s="16" t="n">
        <v>27200</v>
      </c>
      <c r="C23" s="16" t="n">
        <v>2493089220</v>
      </c>
      <c r="D23" s="16" t="n">
        <v/>
      </c>
      <c r="E23" s="16" t="n">
        <v/>
      </c>
      <c r="F23" s="16" t="n">
        <v>4540482270444</v>
      </c>
      <c r="G23" s="16" t="n">
        <v>1277594797901</v>
      </c>
      <c r="H23" s="16" t="n">
        <v>819689193094</v>
      </c>
      <c r="I23" s="16" t="n">
        <v>1475598669616</v>
      </c>
      <c r="J23" s="16" t="n">
        <v>967599609833</v>
      </c>
      <c r="K23" s="17">
        <f>SUM(G23:J23)</f>
        <v/>
      </c>
      <c r="L23" s="17">
        <f>B23*C23</f>
        <v/>
      </c>
      <c r="M23" s="18">
        <f>IF(K23&lt;&gt;0,L23/K23,"")</f>
        <v/>
      </c>
      <c r="N23" s="19" t="n">
        <v>1277594797901</v>
      </c>
      <c r="O23" s="19" t="n">
        <v>819689193094</v>
      </c>
      <c r="P23" s="19" t="n">
        <v>1475598669616</v>
      </c>
      <c r="Q23" s="19" t="n">
        <v>967599609833</v>
      </c>
      <c r="R23" s="20">
        <f>SUM(N23:Q23)</f>
        <v/>
      </c>
      <c r="S23" s="21">
        <f>IF(R23&lt;&gt;0,L23/R23,"")</f>
        <v/>
      </c>
      <c r="T23" s="22" t="inlineStr">
        <is>
          <t>Q2-2025 to Q1-2026</t>
        </is>
      </c>
      <c r="U23" s="23">
        <f>L23/L36</f>
        <v/>
      </c>
    </row>
    <row r="24">
      <c r="A24" s="9" t="inlineStr">
        <is>
          <t>STB</t>
        </is>
      </c>
      <c r="B24" s="10" t="n">
        <v>73200</v>
      </c>
      <c r="C24" s="10" t="n">
        <v>1885215700</v>
      </c>
      <c r="D24" s="10" t="n">
        <v>4626823000000</v>
      </c>
      <c r="E24" s="10" t="n">
        <v>4626823000000</v>
      </c>
      <c r="F24" s="10" t="n">
        <v>19272575000000</v>
      </c>
      <c r="G24" s="10" t="n">
        <v>1584404000000</v>
      </c>
      <c r="H24" s="10" t="n">
        <v>-2752462000000</v>
      </c>
      <c r="I24" s="10" t="n">
        <v>2901283000000</v>
      </c>
      <c r="J24" s="10" t="n">
        <v>2893598000000</v>
      </c>
      <c r="K24" s="11">
        <f>SUM(G24:J24)</f>
        <v/>
      </c>
      <c r="L24" s="11">
        <f>B24*C24</f>
        <v/>
      </c>
      <c r="M24" s="12">
        <f>IF(K24&lt;&gt;0,L24/K24,"")</f>
        <v/>
      </c>
      <c r="N24" s="10" t="n">
        <v>1584404000000</v>
      </c>
      <c r="O24" s="10" t="n">
        <v>-2752462000000</v>
      </c>
      <c r="P24" s="10" t="n">
        <v>2901283000000</v>
      </c>
      <c r="Q24" s="10" t="n">
        <v>2893598000000</v>
      </c>
      <c r="R24" s="11">
        <f>SUM(N24:Q24)</f>
        <v/>
      </c>
      <c r="S24" s="12">
        <f>IF(R24&lt;&gt;0,L24/R24,"")</f>
        <v/>
      </c>
      <c r="T24" s="13" t="inlineStr">
        <is>
          <t>Q2-2025 to Q1-2026</t>
        </is>
      </c>
      <c r="U24" s="14">
        <f>L24/L36</f>
        <v/>
      </c>
    </row>
    <row r="25">
      <c r="A25" s="15" t="inlineStr">
        <is>
          <t>TCB</t>
        </is>
      </c>
      <c r="B25" s="16" t="n">
        <v>34300</v>
      </c>
      <c r="C25" s="16" t="n">
        <v>7086240400</v>
      </c>
      <c r="D25" s="16" t="n">
        <v>25713947000000</v>
      </c>
      <c r="E25" s="16" t="n">
        <v>26557142000000</v>
      </c>
      <c r="F25" s="16" t="n">
        <v>37851615000000</v>
      </c>
      <c r="G25" s="16" t="n">
        <v>6671081000000</v>
      </c>
      <c r="H25" s="16" t="n">
        <v>6675562000000</v>
      </c>
      <c r="I25" s="16" t="n">
        <v>6419344000000</v>
      </c>
      <c r="J25" s="16" t="n">
        <v>5947960000000</v>
      </c>
      <c r="K25" s="17">
        <f>SUM(G25:J25)</f>
        <v/>
      </c>
      <c r="L25" s="17">
        <f>B25*C25</f>
        <v/>
      </c>
      <c r="M25" s="18">
        <f>IF(K25&lt;&gt;0,L25/K25,"")</f>
        <v/>
      </c>
      <c r="N25" s="19" t="n">
        <v>6950280000000</v>
      </c>
      <c r="O25" s="19" t="n">
        <v>6979826000000</v>
      </c>
      <c r="P25" s="19" t="n">
        <v>6613525000000</v>
      </c>
      <c r="Q25" s="19" t="n">
        <v>6013511000000</v>
      </c>
      <c r="R25" s="20">
        <f>SUM(N25:Q25)</f>
        <v/>
      </c>
      <c r="S25" s="21">
        <f>IF(R25&lt;&gt;0,L25/R25,"")</f>
        <v/>
      </c>
      <c r="T25" s="22" t="inlineStr">
        <is>
          <t>Q1-2025 to Q1-2026</t>
        </is>
      </c>
      <c r="U25" s="23">
        <f>L25/L36</f>
        <v/>
      </c>
    </row>
    <row r="26">
      <c r="A26" s="9" t="inlineStr">
        <is>
          <t>TPB</t>
        </is>
      </c>
      <c r="B26" s="10" t="n">
        <v>16750</v>
      </c>
      <c r="C26" s="10" t="n">
        <v>2774046900</v>
      </c>
      <c r="D26" s="10" t="n">
        <v>7358704000000</v>
      </c>
      <c r="E26" s="10" t="n">
        <v>7375232000000</v>
      </c>
      <c r="F26" s="10" t="n">
        <v>12458649000000</v>
      </c>
      <c r="G26" s="10" t="n">
        <v>1665697000000</v>
      </c>
      <c r="H26" s="10" t="n">
        <v>2542763000000</v>
      </c>
      <c r="I26" s="10" t="n">
        <v>1520640000000</v>
      </c>
      <c r="J26" s="10" t="n">
        <v>1629604000000</v>
      </c>
      <c r="K26" s="11">
        <f>SUM(G26:J26)</f>
        <v/>
      </c>
      <c r="L26" s="11">
        <f>B26*C26</f>
        <v/>
      </c>
      <c r="M26" s="12">
        <f>IF(K26&lt;&gt;0,L26/K26,"")</f>
        <v/>
      </c>
      <c r="N26" s="10" t="n">
        <v>1682225000000</v>
      </c>
      <c r="O26" s="10" t="n">
        <v>2542763000000</v>
      </c>
      <c r="P26" s="10" t="n">
        <v>1520640000000</v>
      </c>
      <c r="Q26" s="10" t="n">
        <v>1629604000000</v>
      </c>
      <c r="R26" s="11">
        <f>SUM(N26:Q26)</f>
        <v/>
      </c>
      <c r="S26" s="12">
        <f>IF(R26&lt;&gt;0,L26/R26,"")</f>
        <v/>
      </c>
      <c r="T26" s="13" t="inlineStr">
        <is>
          <t>Q2-2025 to Q1-2026</t>
        </is>
      </c>
      <c r="U26" s="14">
        <f>L26/L36</f>
        <v/>
      </c>
    </row>
    <row r="27">
      <c r="A27" s="15" t="inlineStr">
        <is>
          <t>VCB</t>
        </is>
      </c>
      <c r="B27" s="16" t="n">
        <v>63000</v>
      </c>
      <c r="C27" s="16" t="n">
        <v>8355675100</v>
      </c>
      <c r="D27" s="16" t="n">
        <v>35938492000000</v>
      </c>
      <c r="E27" s="16" t="n">
        <v>35958802000000</v>
      </c>
      <c r="F27" s="16" t="n">
        <v>49888762000000</v>
      </c>
      <c r="G27" s="16" t="n">
        <v>9456566000000</v>
      </c>
      <c r="H27" s="16" t="n">
        <v>8629542000000</v>
      </c>
      <c r="I27" s="16" t="n">
        <v>9020499000000</v>
      </c>
      <c r="J27" s="16" t="n">
        <v>8831885000000</v>
      </c>
      <c r="K27" s="17">
        <f>SUM(G27:J27)</f>
        <v/>
      </c>
      <c r="L27" s="17">
        <f>B27*C27</f>
        <v/>
      </c>
      <c r="M27" s="18">
        <f>IF(K27&lt;&gt;0,L27/K27,"")</f>
        <v/>
      </c>
      <c r="N27" s="19" t="n">
        <v>9462095000000</v>
      </c>
      <c r="O27" s="19" t="n">
        <v>8633783000000</v>
      </c>
      <c r="P27" s="19" t="n">
        <v>9025553000000</v>
      </c>
      <c r="Q27" s="19" t="n">
        <v>8837371000000</v>
      </c>
      <c r="R27" s="20">
        <f>SUM(N27:Q27)</f>
        <v/>
      </c>
      <c r="S27" s="21">
        <f>IF(R27&lt;&gt;0,L27/R27,"")</f>
        <v/>
      </c>
      <c r="T27" s="22" t="inlineStr">
        <is>
          <t>Q2-2025 to Q1-2026</t>
        </is>
      </c>
      <c r="U27" s="23">
        <f>L27/L36</f>
        <v/>
      </c>
    </row>
    <row r="28">
      <c r="A28" s="9" t="inlineStr">
        <is>
          <t>VHM</t>
        </is>
      </c>
      <c r="B28" s="10" t="n">
        <v>148700</v>
      </c>
      <c r="C28" s="10" t="n">
        <v>4107412000</v>
      </c>
      <c r="D28" s="10" t="n">
        <v>64015749000000</v>
      </c>
      <c r="E28" s="10" t="n">
        <v>65207362000000</v>
      </c>
      <c r="F28" s="10" t="n">
        <v>850197000000</v>
      </c>
      <c r="G28" s="10" t="n">
        <v>25551945000000</v>
      </c>
      <c r="H28" s="10" t="n">
        <v>26726426000000</v>
      </c>
      <c r="I28" s="10" t="n">
        <v>4183929000000</v>
      </c>
      <c r="J28" s="10" t="n">
        <v>7553449000000</v>
      </c>
      <c r="K28" s="11">
        <f>SUM(G28:J28)</f>
        <v/>
      </c>
      <c r="L28" s="11">
        <f>B28*C28</f>
        <v/>
      </c>
      <c r="M28" s="12">
        <f>IF(K28&lt;&gt;0,L28/K28,"")</f>
        <v/>
      </c>
      <c r="N28" s="10" t="n">
        <v>25625356000000</v>
      </c>
      <c r="O28" s="10" t="n">
        <v>26798195000000</v>
      </c>
      <c r="P28" s="10" t="n">
        <v>4435641000000</v>
      </c>
      <c r="Q28" s="10" t="n">
        <v>8348170000000</v>
      </c>
      <c r="R28" s="11">
        <f>SUM(N28:Q28)</f>
        <v/>
      </c>
      <c r="S28" s="12">
        <f>IF(R28&lt;&gt;0,L28/R28,"")</f>
        <v/>
      </c>
      <c r="T28" s="13" t="inlineStr">
        <is>
          <t>Q2-2025 to Q1-2026</t>
        </is>
      </c>
      <c r="U28" s="14">
        <f>L28/L36</f>
        <v/>
      </c>
    </row>
    <row r="29">
      <c r="A29" s="15" t="inlineStr">
        <is>
          <t>VIB</t>
        </is>
      </c>
      <c r="B29" s="16" t="n">
        <v>16600</v>
      </c>
      <c r="C29" s="16" t="n">
        <v>3404005700</v>
      </c>
      <c r="D29" s="16" t="n">
        <v>11603090000000</v>
      </c>
      <c r="E29" s="16" t="n">
        <v>11603090000000</v>
      </c>
      <c r="F29" s="16" t="n">
        <v>19810432000000</v>
      </c>
      <c r="G29" s="16" t="n">
        <v>2241191000000</v>
      </c>
      <c r="H29" s="16" t="n">
        <v>1647984000000</v>
      </c>
      <c r="I29" s="16" t="n">
        <v>5637446000000</v>
      </c>
      <c r="J29" s="16" t="n">
        <v>2076469000000</v>
      </c>
      <c r="K29" s="17">
        <f>SUM(G29:J29)</f>
        <v/>
      </c>
      <c r="L29" s="17">
        <f>B29*C29</f>
        <v/>
      </c>
      <c r="M29" s="18">
        <f>IF(K29&lt;&gt;0,L29/K29,"")</f>
        <v/>
      </c>
      <c r="N29" s="19" t="n">
        <v>2241191000000</v>
      </c>
      <c r="O29" s="19" t="n">
        <v>1647984000000</v>
      </c>
      <c r="P29" s="19" t="n">
        <v>5637446000000</v>
      </c>
      <c r="Q29" s="19" t="n">
        <v>2076469000000</v>
      </c>
      <c r="R29" s="20">
        <f>SUM(N29:Q29)</f>
        <v/>
      </c>
      <c r="S29" s="21">
        <f>IF(R29&lt;&gt;0,L29/R29,"")</f>
        <v/>
      </c>
      <c r="T29" s="22" t="inlineStr">
        <is>
          <t>Q2-2025 to Q1-2026</t>
        </is>
      </c>
      <c r="U29" s="23">
        <f>L29/L36</f>
        <v/>
      </c>
    </row>
    <row r="30">
      <c r="A30" s="9" t="inlineStr">
        <is>
          <t>VIC</t>
        </is>
      </c>
      <c r="B30" s="10" t="n">
        <v>217100</v>
      </c>
      <c r="C30" s="10" t="n">
        <v>7733491900</v>
      </c>
      <c r="D30" s="10" t="n">
        <v>14103633000000</v>
      </c>
      <c r="E30" s="10" t="n">
        <v>14482867000000</v>
      </c>
      <c r="F30" s="10" t="n">
        <v>20710770000000</v>
      </c>
      <c r="G30" s="10" t="n">
        <v>7276018000000</v>
      </c>
      <c r="H30" s="10" t="n">
        <v>6768417000000</v>
      </c>
      <c r="I30" s="10" t="n">
        <v>640184000000</v>
      </c>
      <c r="J30" s="10" t="n">
        <v>-580986000000</v>
      </c>
      <c r="K30" s="11">
        <f>SUM(G30:J30)</f>
        <v/>
      </c>
      <c r="L30" s="11">
        <f>B30*C30</f>
        <v/>
      </c>
      <c r="M30" s="12">
        <f>IF(K30&lt;&gt;0,L30/K30,"")</f>
        <v/>
      </c>
      <c r="N30" s="10" t="n">
        <v>5610779000000</v>
      </c>
      <c r="O30" s="10" t="n">
        <v>3581322000000</v>
      </c>
      <c r="P30" s="10" t="n">
        <v>3025338000000</v>
      </c>
      <c r="Q30" s="10" t="n">
        <v>2265428000000</v>
      </c>
      <c r="R30" s="11">
        <f>SUM(N30:Q30)</f>
        <v/>
      </c>
      <c r="S30" s="12">
        <f>IF(R30&lt;&gt;0,L30/R30,"")</f>
        <v/>
      </c>
      <c r="T30" s="13" t="inlineStr">
        <is>
          <t>Q2-2025 to Q1-2026</t>
        </is>
      </c>
      <c r="U30" s="14">
        <f>L30/L36</f>
        <v/>
      </c>
    </row>
    <row r="31">
      <c r="A31" s="15" t="inlineStr">
        <is>
          <t>VJC</t>
        </is>
      </c>
      <c r="B31" s="16" t="n">
        <v>139300</v>
      </c>
      <c r="C31" s="16" t="n">
        <v>591611334</v>
      </c>
      <c r="D31" s="16" t="n">
        <v>2495604994347</v>
      </c>
      <c r="E31" s="16" t="n">
        <v>2505544704111</v>
      </c>
      <c r="F31" s="16" t="n">
        <v>245783404035</v>
      </c>
      <c r="G31" s="16" t="n">
        <v>1013480241126</v>
      </c>
      <c r="H31" s="16" t="n">
        <v>510416521602</v>
      </c>
      <c r="I31" s="16" t="n">
        <v>319276377507</v>
      </c>
      <c r="J31" s="16" t="n">
        <v>652431854112</v>
      </c>
      <c r="K31" s="17">
        <f>SUM(G31:J31)</f>
        <v/>
      </c>
      <c r="L31" s="17">
        <f>B31*C31</f>
        <v/>
      </c>
      <c r="M31" s="18">
        <f>IF(K31&lt;&gt;0,L31/K31,"")</f>
        <v/>
      </c>
      <c r="N31" s="19" t="n">
        <v>1023398039226</v>
      </c>
      <c r="O31" s="19" t="n">
        <v>509187088658</v>
      </c>
      <c r="P31" s="19" t="n">
        <v>320248044870</v>
      </c>
      <c r="Q31" s="19" t="n">
        <v>652711531357</v>
      </c>
      <c r="R31" s="20">
        <f>SUM(N31:Q31)</f>
        <v/>
      </c>
      <c r="S31" s="21">
        <f>IF(R31&lt;&gt;0,L31/R31,"")</f>
        <v/>
      </c>
      <c r="T31" s="22" t="inlineStr">
        <is>
          <t>Q2-2025 to Q1-2026</t>
        </is>
      </c>
      <c r="U31" s="23">
        <f>L31/L36</f>
        <v/>
      </c>
    </row>
    <row r="32">
      <c r="A32" s="9" t="inlineStr">
        <is>
          <t>VNM</t>
        </is>
      </c>
      <c r="B32" s="10" t="n">
        <v>55200</v>
      </c>
      <c r="C32" s="10" t="n">
        <v>2089955445</v>
      </c>
      <c r="D32" s="10" t="n">
        <v>10270439271695</v>
      </c>
      <c r="E32" s="10" t="n">
        <v>10284537466947</v>
      </c>
      <c r="F32" s="10" t="n">
        <v>12036659091</v>
      </c>
      <c r="G32" s="10" t="n">
        <v>2428719813104</v>
      </c>
      <c r="H32" s="10" t="n">
        <v>2840367601702</v>
      </c>
      <c r="I32" s="10" t="n">
        <v>2526766558891</v>
      </c>
      <c r="J32" s="10" t="n">
        <v>2474585297998</v>
      </c>
      <c r="K32" s="11">
        <f>SUM(G32:J32)</f>
        <v/>
      </c>
      <c r="L32" s="11">
        <f>B32*C32</f>
        <v/>
      </c>
      <c r="M32" s="12">
        <f>IF(K32&lt;&gt;0,L32/K32,"")</f>
        <v/>
      </c>
      <c r="N32" s="10" t="n">
        <v>2458221002532</v>
      </c>
      <c r="O32" s="10" t="n">
        <v>2827199040932</v>
      </c>
      <c r="P32" s="10" t="n">
        <v>2510532743203</v>
      </c>
      <c r="Q32" s="10" t="n">
        <v>2488584680280</v>
      </c>
      <c r="R32" s="11">
        <f>SUM(N32:Q32)</f>
        <v/>
      </c>
      <c r="S32" s="12">
        <f>IF(R32&lt;&gt;0,L32/R32,"")</f>
        <v/>
      </c>
      <c r="T32" s="13" t="inlineStr">
        <is>
          <t>Q2-2025 to Q1-2026</t>
        </is>
      </c>
      <c r="U32" s="14">
        <f>L32/L36</f>
        <v/>
      </c>
    </row>
    <row r="33">
      <c r="A33" s="15" t="inlineStr">
        <is>
          <t>VPB</t>
        </is>
      </c>
      <c r="B33" s="16" t="n">
        <v>27700</v>
      </c>
      <c r="C33" s="16" t="n">
        <v>7933923600</v>
      </c>
      <c r="D33" s="16" t="n">
        <v>26293682000000</v>
      </c>
      <c r="E33" s="16" t="n">
        <v>26749110000000</v>
      </c>
      <c r="F33" s="16" t="n">
        <v>59921191000000</v>
      </c>
      <c r="G33" s="16" t="n">
        <v>6198661000000</v>
      </c>
      <c r="H33" s="16" t="n">
        <v>7957142000000</v>
      </c>
      <c r="I33" s="16" t="n">
        <v>7275479000000</v>
      </c>
      <c r="J33" s="16" t="n">
        <v>4862400000000</v>
      </c>
      <c r="K33" s="17">
        <f>SUM(G33:J33)</f>
        <v/>
      </c>
      <c r="L33" s="17">
        <f>B33*C33</f>
        <v/>
      </c>
      <c r="M33" s="18">
        <f>IF(K33&lt;&gt;0,L33/K33,"")</f>
        <v/>
      </c>
      <c r="N33" s="19" t="n">
        <v>6329468000000</v>
      </c>
      <c r="O33" s="19" t="n">
        <v>8118409000000</v>
      </c>
      <c r="P33" s="19" t="n">
        <v>7363737000000</v>
      </c>
      <c r="Q33" s="19" t="n">
        <v>4937496000000</v>
      </c>
      <c r="R33" s="20">
        <f>SUM(N33:Q33)</f>
        <v/>
      </c>
      <c r="S33" s="21">
        <f>IF(R33&lt;&gt;0,L33/R33,"")</f>
        <v/>
      </c>
      <c r="T33" s="22" t="inlineStr">
        <is>
          <t>Q2-2025 to Q1-2026</t>
        </is>
      </c>
      <c r="U33" s="23">
        <f>L33/L36</f>
        <v/>
      </c>
    </row>
    <row r="34">
      <c r="A34" s="9" t="inlineStr">
        <is>
          <t>VPL</t>
        </is>
      </c>
      <c r="B34" s="10" t="n">
        <v>88200</v>
      </c>
      <c r="C34" s="10" t="n">
        <v>1793300400</v>
      </c>
      <c r="D34" s="10" t="n">
        <v>2546748000000</v>
      </c>
      <c r="E34" s="10" t="n">
        <v>2546895000000</v>
      </c>
      <c r="F34" s="10" t="n">
        <v>1729496000000</v>
      </c>
      <c r="G34" s="10" t="n">
        <v>1508083000000</v>
      </c>
      <c r="H34" s="10" t="n">
        <v>702709000000</v>
      </c>
      <c r="I34" s="10" t="n">
        <v>169291000000</v>
      </c>
      <c r="J34" s="10" t="n">
        <v>166665000000</v>
      </c>
      <c r="K34" s="11">
        <f>SUM(G34:J34)</f>
        <v/>
      </c>
      <c r="L34" s="11">
        <f>B34*C34</f>
        <v/>
      </c>
      <c r="M34" s="12">
        <f>IF(K34&lt;&gt;0,L34/K34,"")</f>
        <v/>
      </c>
      <c r="N34" s="10" t="n">
        <v>1508110000000</v>
      </c>
      <c r="O34" s="10" t="n">
        <v>702746000000</v>
      </c>
      <c r="P34" s="10" t="n">
        <v>169336000000</v>
      </c>
      <c r="Q34" s="10" t="n">
        <v>166703000000</v>
      </c>
      <c r="R34" s="11">
        <f>SUM(N34:Q34)</f>
        <v/>
      </c>
      <c r="S34" s="12">
        <f>IF(R34&lt;&gt;0,L34/R34,"")</f>
        <v/>
      </c>
      <c r="T34" s="13" t="inlineStr">
        <is>
          <t>Q2-2025 to Q1-2026</t>
        </is>
      </c>
      <c r="U34" s="14">
        <f>L34/L36</f>
        <v/>
      </c>
    </row>
    <row r="35">
      <c r="A35" s="15" t="inlineStr">
        <is>
          <t>VRE</t>
        </is>
      </c>
      <c r="B35" s="16" t="n">
        <v>28300</v>
      </c>
      <c r="C35" s="16" t="n">
        <v>2328818400</v>
      </c>
      <c r="D35" s="16" t="n">
        <v>6874783000000</v>
      </c>
      <c r="E35" s="16" t="n">
        <v>6874783000000</v>
      </c>
      <c r="F35" s="16" t="n">
        <v>519184000000</v>
      </c>
      <c r="G35" s="16" t="n">
        <v>1606257000000</v>
      </c>
      <c r="H35" s="16" t="n">
        <v>2658835000000</v>
      </c>
      <c r="I35" s="16" t="n">
        <v>1376430000000</v>
      </c>
      <c r="J35" s="16" t="n">
        <v>1233261000000</v>
      </c>
      <c r="K35" s="17">
        <f>SUM(G35:J35)</f>
        <v/>
      </c>
      <c r="L35" s="17">
        <f>B35*C35</f>
        <v/>
      </c>
      <c r="M35" s="18">
        <f>IF(K35&lt;&gt;0,L35/K35,"")</f>
        <v/>
      </c>
      <c r="N35" s="19" t="n">
        <v>1606257000000</v>
      </c>
      <c r="O35" s="19" t="n">
        <v>2658835000000</v>
      </c>
      <c r="P35" s="19" t="n">
        <v>1376430000000</v>
      </c>
      <c r="Q35" s="19" t="n">
        <v>1233261000000</v>
      </c>
      <c r="R35" s="20">
        <f>SUM(N35:Q35)</f>
        <v/>
      </c>
      <c r="S35" s="21">
        <f>IF(R35&lt;&gt;0,L35/R35,"")</f>
        <v/>
      </c>
      <c r="T35" s="22" t="inlineStr">
        <is>
          <t>Q2-2025 to Q1-2026</t>
        </is>
      </c>
      <c r="U35" s="23">
        <f>L35/L36</f>
        <v/>
      </c>
    </row>
    <row r="36">
      <c r="A36" s="24" t="inlineStr">
        <is>
          <t>TOTAL</t>
        </is>
      </c>
      <c r="B36" s="25" t="inlineStr"/>
      <c r="C36" s="25" t="inlineStr"/>
      <c r="D36" s="25" t="inlineStr"/>
      <c r="E36" s="25" t="inlineStr"/>
      <c r="F36" s="25" t="inlineStr"/>
      <c r="G36" s="25" t="inlineStr"/>
      <c r="H36" s="25" t="inlineStr"/>
      <c r="I36" s="25" t="inlineStr"/>
      <c r="J36" s="25" t="inlineStr"/>
      <c r="K36" s="26">
        <f>SUM(K6:K35)</f>
        <v/>
      </c>
      <c r="L36" s="26">
        <f>SUM(L6:L35)</f>
        <v/>
      </c>
      <c r="M36" s="25" t="inlineStr"/>
      <c r="N36" s="25" t="inlineStr"/>
      <c r="O36" s="25" t="inlineStr"/>
      <c r="P36" s="25" t="inlineStr"/>
      <c r="Q36" s="25" t="inlineStr"/>
      <c r="R36" s="26">
        <f>SUM(R6:R35)</f>
        <v/>
      </c>
      <c r="S36" s="25" t="inlineStr"/>
      <c r="T36" s="25" t="inlineStr"/>
      <c r="U36" s="25" t="inlineStr"/>
    </row>
    <row r="38">
      <c r="A38" s="27" t="inlineStr">
        <is>
          <t>Aggregate P/E (KQKD_14 priority)  =  Total Market Cap / Total Net Profit [14]</t>
        </is>
      </c>
      <c r="K38" s="28">
        <f>L36/K36</f>
        <v/>
      </c>
    </row>
    <row r="39">
      <c r="A39" s="27" t="inlineStr">
        <is>
          <t>Aggregate P/E (KQKD_13 priority)  =  Total Market Cap / Total Net Profit [13]</t>
        </is>
      </c>
      <c r="K39" s="29">
        <f>L36/R36</f>
        <v/>
      </c>
    </row>
  </sheetData>
  <mergeCells count="8">
    <mergeCell ref="A2:U2"/>
    <mergeCell ref="G4:M4"/>
    <mergeCell ref="A39:J39"/>
    <mergeCell ref="A4:F4"/>
    <mergeCell ref="A38:J38"/>
    <mergeCell ref="A1:U1"/>
    <mergeCell ref="N4:S4"/>
    <mergeCell ref="T4:U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2026-07-09T16:30:34Z</dcterms:created>
  <dcterms:modified xsi:type="dcterms:W3CDTF">2026-07-09T16:30:34Z</dcterms:modified>
</cp:coreProperties>
</file>
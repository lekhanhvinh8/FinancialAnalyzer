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projects\Stock_Analyzer\PriceToEarn_v2\"/>
    </mc:Choice>
  </mc:AlternateContent>
  <xr:revisionPtr revIDLastSave="0" documentId="13_ncr:1_{D62CBE21-9A4C-4031-8223-398A533B601C}" xr6:coauthVersionLast="47" xr6:coauthVersionMax="47" xr10:uidLastSave="{00000000-0000-0000-0000-000000000000}"/>
  <bookViews>
    <workbookView xWindow="1305" yWindow="5295" windowWidth="26085" windowHeight="14640" xr2:uid="{00000000-000D-0000-FFFF-FFFF00000000}"/>
  </bookViews>
  <sheets>
    <sheet name="VN Diamond 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1" l="1"/>
  <c r="S24" i="1" s="1"/>
  <c r="L24" i="1"/>
  <c r="K24" i="1"/>
  <c r="M24" i="1" s="1"/>
  <c r="R23" i="1"/>
  <c r="S23" i="1" s="1"/>
  <c r="L23" i="1"/>
  <c r="K23" i="1"/>
  <c r="M23" i="1" s="1"/>
  <c r="R22" i="1"/>
  <c r="S22" i="1" s="1"/>
  <c r="L22" i="1"/>
  <c r="K22" i="1"/>
  <c r="M22" i="1" s="1"/>
  <c r="R21" i="1"/>
  <c r="S21" i="1" s="1"/>
  <c r="L21" i="1"/>
  <c r="K21" i="1"/>
  <c r="R20" i="1"/>
  <c r="S20" i="1" s="1"/>
  <c r="L20" i="1"/>
  <c r="K20" i="1"/>
  <c r="M20" i="1" s="1"/>
  <c r="R19" i="1"/>
  <c r="S19" i="1" s="1"/>
  <c r="L19" i="1"/>
  <c r="K19" i="1"/>
  <c r="M19" i="1" s="1"/>
  <c r="R18" i="1"/>
  <c r="S18" i="1" s="1"/>
  <c r="L18" i="1"/>
  <c r="K18" i="1"/>
  <c r="M18" i="1" s="1"/>
  <c r="R17" i="1"/>
  <c r="S17" i="1" s="1"/>
  <c r="L17" i="1"/>
  <c r="M17" i="1" s="1"/>
  <c r="K17" i="1"/>
  <c r="R16" i="1"/>
  <c r="S16" i="1" s="1"/>
  <c r="L16" i="1"/>
  <c r="K16" i="1"/>
  <c r="M16" i="1" s="1"/>
  <c r="R15" i="1"/>
  <c r="S15" i="1" s="1"/>
  <c r="L15" i="1"/>
  <c r="K15" i="1"/>
  <c r="M15" i="1" s="1"/>
  <c r="R14" i="1"/>
  <c r="S14" i="1" s="1"/>
  <c r="L14" i="1"/>
  <c r="K14" i="1"/>
  <c r="M14" i="1" s="1"/>
  <c r="R13" i="1"/>
  <c r="S13" i="1" s="1"/>
  <c r="L13" i="1"/>
  <c r="M13" i="1" s="1"/>
  <c r="K13" i="1"/>
  <c r="R12" i="1"/>
  <c r="S12" i="1" s="1"/>
  <c r="L12" i="1"/>
  <c r="K12" i="1"/>
  <c r="M12" i="1" s="1"/>
  <c r="R11" i="1"/>
  <c r="S11" i="1" s="1"/>
  <c r="L11" i="1"/>
  <c r="K11" i="1"/>
  <c r="M11" i="1" s="1"/>
  <c r="R10" i="1"/>
  <c r="L10" i="1"/>
  <c r="K10" i="1"/>
  <c r="R9" i="1"/>
  <c r="S9" i="1" s="1"/>
  <c r="L9" i="1"/>
  <c r="M9" i="1" s="1"/>
  <c r="K9" i="1"/>
  <c r="R8" i="1"/>
  <c r="S8" i="1" s="1"/>
  <c r="L8" i="1"/>
  <c r="K8" i="1"/>
  <c r="M8" i="1" s="1"/>
  <c r="R7" i="1"/>
  <c r="S7" i="1" s="1"/>
  <c r="L7" i="1"/>
  <c r="K7" i="1"/>
  <c r="M7" i="1" s="1"/>
  <c r="R6" i="1"/>
  <c r="R25" i="1" s="1"/>
  <c r="L6" i="1"/>
  <c r="K6" i="1"/>
  <c r="K25" i="1" s="1"/>
  <c r="M10" i="1" l="1"/>
  <c r="S10" i="1"/>
  <c r="M21" i="1"/>
  <c r="S6" i="1"/>
  <c r="L25" i="1"/>
  <c r="U17" i="1" s="1"/>
  <c r="M6" i="1"/>
  <c r="K28" i="1" l="1"/>
  <c r="K27" i="1"/>
  <c r="U18" i="1"/>
  <c r="U14" i="1"/>
  <c r="U19" i="1"/>
  <c r="U6" i="1"/>
  <c r="U23" i="1"/>
  <c r="U15" i="1"/>
  <c r="U22" i="1"/>
  <c r="U10" i="1"/>
  <c r="U11" i="1"/>
  <c r="U7" i="1"/>
  <c r="U8" i="1"/>
  <c r="U24" i="1"/>
  <c r="U16" i="1"/>
  <c r="U9" i="1"/>
  <c r="U21" i="1"/>
  <c r="U13" i="1"/>
  <c r="U20" i="1"/>
  <c r="U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G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Q2-2026</t>
        </r>
      </text>
    </comment>
    <comment ref="H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I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J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N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Q2-2026</t>
        </r>
      </text>
    </comment>
    <comment ref="O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P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Q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G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8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9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9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9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0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0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3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3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4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4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4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4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4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4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5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5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5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5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5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5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5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5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6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6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6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6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8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8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8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18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8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1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1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1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Q1-2025</t>
        </r>
      </text>
    </comment>
    <comment ref="N1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1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19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19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Q1-2025</t>
        </r>
      </text>
    </comment>
    <comment ref="G2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2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2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2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2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2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20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2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2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2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2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2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2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2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2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2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2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2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2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Q1-2025</t>
        </r>
      </text>
    </comment>
    <comment ref="N2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2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2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2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Q1-2025</t>
        </r>
      </text>
    </comment>
    <comment ref="G2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23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2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2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2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2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2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23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G2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H24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I24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J2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  <comment ref="N24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Q1-2026</t>
        </r>
      </text>
    </comment>
    <comment ref="O24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Q4-2025</t>
        </r>
      </text>
    </comment>
    <comment ref="P2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Q3-2025</t>
        </r>
      </text>
    </comment>
    <comment ref="Q24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Q2-2025</t>
        </r>
      </text>
    </comment>
  </commentList>
</comments>
</file>

<file path=xl/sharedStrings.xml><?xml version="1.0" encoding="utf-8"?>
<sst xmlns="http://schemas.openxmlformats.org/spreadsheetml/2006/main" count="68" uniqueCount="47">
  <si>
    <t>VN Diamond - Aggregate P/E Calculation (KQKD_14 vs KQKD_13 comparison)</t>
  </si>
  <si>
    <t>As of: 2026-07-01    |    Blue = KQKD_14 priority (parent shareholders)    |    Green = KQKD_13 priority (consolidated incl. minority)</t>
  </si>
  <si>
    <t>Shared Inputs</t>
  </si>
  <si>
    <t>KQKD_14 Priority  (parent-company shareholders)</t>
  </si>
  <si>
    <t>KQKD_13 Priority  (consolidated incl. minority interest)</t>
  </si>
  <si>
    <t>Info</t>
  </si>
  <si>
    <t>Symbol</t>
  </si>
  <si>
    <t>Price
(VND)</t>
  </si>
  <si>
    <t>Shares</t>
  </si>
  <si>
    <t>TTM KQKD_14
(VND)</t>
  </si>
  <si>
    <t>TTM KQKD_13
(VND)</t>
  </si>
  <si>
    <t>TTM KQKD_10
(VND)</t>
  </si>
  <si>
    <t>Q1 (latest)
(VND)</t>
  </si>
  <si>
    <t>Q2
(VND)</t>
  </si>
  <si>
    <t>Q3
(VND)</t>
  </si>
  <si>
    <t>Q4 (oldest)
(VND)</t>
  </si>
  <si>
    <t>Net Profit
=SUM(Q1:Q4)</t>
  </si>
  <si>
    <t>Market Cap
(VND)</t>
  </si>
  <si>
    <t>P/E
[14 priority]</t>
  </si>
  <si>
    <t>P/E
[13 priority]</t>
  </si>
  <si>
    <t>TTM Range</t>
  </si>
  <si>
    <t>Weight</t>
  </si>
  <si>
    <t>ACB</t>
  </si>
  <si>
    <t>Q2-2025 to Q1-2026</t>
  </si>
  <si>
    <t>CTD</t>
  </si>
  <si>
    <t>Q3-2025 to Q2-2026</t>
  </si>
  <si>
    <t>EIB</t>
  </si>
  <si>
    <t>FPT</t>
  </si>
  <si>
    <t>GMD</t>
  </si>
  <si>
    <t>HDB</t>
  </si>
  <si>
    <t>KDH</t>
  </si>
  <si>
    <t>LPB</t>
  </si>
  <si>
    <t>MBB</t>
  </si>
  <si>
    <t>MSB</t>
  </si>
  <si>
    <t>MSN</t>
  </si>
  <si>
    <t>MWG</t>
  </si>
  <si>
    <t>NLG</t>
  </si>
  <si>
    <t>PNJ</t>
  </si>
  <si>
    <t>Q1-2025 to Q1-2026</t>
  </si>
  <si>
    <t>REE</t>
  </si>
  <si>
    <t>STB</t>
  </si>
  <si>
    <t>TCB</t>
  </si>
  <si>
    <t>VCS</t>
  </si>
  <si>
    <t>VPB</t>
  </si>
  <si>
    <t>TOTAL</t>
  </si>
  <si>
    <t>Aggregate P/E (KQKD_14 priority)  =  Total Market Cap / Total Net Profit [14]</t>
  </si>
  <si>
    <t>Aggregate P/E (KQKD_13 priority)  =  Total Market Cap / Total Net Profit [13]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</si>
</sst>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x&quot;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44444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14"/>
      <color rgb="FFC00000"/>
      <name val="Calibri"/>
    </font>
    <font>
      <b/>
      <sz val="14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EBF3FB"/>
        <bgColor rgb="FFEBF3FB"/>
      </patternFill>
    </fill>
    <fill>
      <patternFill patternType="solid">
        <fgColor rgb="FFEBF1DE"/>
        <bgColor rgb="FFEBF1DE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3" fontId="6" fillId="6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3" fontId="4" fillId="7" borderId="1" xfId="0" applyNumberFormat="1" applyFont="1" applyFill="1" applyBorder="1" applyAlignment="1">
      <alignment horizontal="right"/>
    </xf>
    <xf numFmtId="164" fontId="8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pane xSplit="1" ySplit="5" topLeftCell="B9" activePane="bottomRight" state="frozen"/>
      <selection pane="topRight"/>
      <selection pane="bottomLeft"/>
      <selection pane="bottomRight" activeCell="A28" sqref="A28:J28"/>
    </sheetView>
  </sheetViews>
  <sheetFormatPr defaultRowHeight="15" x14ac:dyDescent="0.25"/>
  <cols>
    <col min="1" max="1" width="10" customWidth="1"/>
    <col min="2" max="2" width="12" customWidth="1"/>
    <col min="3" max="3" width="16" customWidth="1"/>
    <col min="4" max="4" width="19.140625" customWidth="1"/>
    <col min="5" max="5" width="18.7109375" customWidth="1"/>
    <col min="6" max="6" width="18.42578125" customWidth="1"/>
    <col min="7" max="10" width="16" customWidth="1"/>
    <col min="11" max="11" width="20.5703125" customWidth="1"/>
    <col min="12" max="12" width="21.140625" customWidth="1"/>
    <col min="13" max="13" width="12" customWidth="1"/>
    <col min="14" max="14" width="16" customWidth="1"/>
    <col min="15" max="15" width="17.7109375" customWidth="1"/>
    <col min="16" max="17" width="16" customWidth="1"/>
    <col min="18" max="18" width="18.85546875" customWidth="1"/>
    <col min="19" max="19" width="12" customWidth="1"/>
    <col min="20" max="20" width="22" customWidth="1"/>
    <col min="21" max="21" width="10" customWidth="1"/>
  </cols>
  <sheetData>
    <row r="1" spans="1:21" ht="18.75" x14ac:dyDescent="0.25">
      <c r="A1" s="29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6" customHeight="1" x14ac:dyDescent="0.25"/>
    <row r="4" spans="1:21" ht="20.100000000000001" customHeight="1" x14ac:dyDescent="0.25">
      <c r="A4" s="28" t="s">
        <v>2</v>
      </c>
      <c r="B4" s="25"/>
      <c r="C4" s="25"/>
      <c r="D4" s="25"/>
      <c r="E4" s="25"/>
      <c r="F4" s="25"/>
      <c r="G4" s="27" t="s">
        <v>3</v>
      </c>
      <c r="H4" s="25"/>
      <c r="I4" s="25"/>
      <c r="J4" s="25"/>
      <c r="K4" s="25"/>
      <c r="L4" s="25"/>
      <c r="M4" s="25"/>
      <c r="N4" s="30" t="s">
        <v>4</v>
      </c>
      <c r="O4" s="25"/>
      <c r="P4" s="25"/>
      <c r="Q4" s="25"/>
      <c r="R4" s="25"/>
      <c r="S4" s="25"/>
      <c r="T4" s="28" t="s">
        <v>5</v>
      </c>
      <c r="U4" s="25"/>
    </row>
    <row r="5" spans="1:21" ht="39.9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19</v>
      </c>
      <c r="T5" s="1" t="s">
        <v>20</v>
      </c>
      <c r="U5" s="1" t="s">
        <v>21</v>
      </c>
    </row>
    <row r="6" spans="1:21" x14ac:dyDescent="0.25">
      <c r="A6" s="4" t="s">
        <v>22</v>
      </c>
      <c r="B6" s="5">
        <v>22650</v>
      </c>
      <c r="C6" s="5">
        <v>5136656600</v>
      </c>
      <c r="D6" s="5">
        <v>16266811000000</v>
      </c>
      <c r="E6" s="5">
        <v>16266811000000</v>
      </c>
      <c r="F6" s="5">
        <v>23704940000000</v>
      </c>
      <c r="G6" s="5">
        <v>4320388000000</v>
      </c>
      <c r="H6" s="5">
        <v>2784685000000</v>
      </c>
      <c r="I6" s="5">
        <v>4280589000000</v>
      </c>
      <c r="J6" s="5">
        <v>4881149000000</v>
      </c>
      <c r="K6" s="6">
        <f t="shared" ref="K6:K24" si="0">SUM(G6:J6)</f>
        <v>16266811000000</v>
      </c>
      <c r="L6" s="6">
        <f t="shared" ref="L6:L24" si="1">B6*C6</f>
        <v>116345271990000</v>
      </c>
      <c r="M6" s="7">
        <f t="shared" ref="M6:M24" si="2">IF(K6&lt;&gt;0,L6/K6,"")</f>
        <v>7.1523098159805265</v>
      </c>
      <c r="N6" s="5">
        <v>4320388000000</v>
      </c>
      <c r="O6" s="5">
        <v>2784685000000</v>
      </c>
      <c r="P6" s="5">
        <v>4280589000000</v>
      </c>
      <c r="Q6" s="5">
        <v>4881149000000</v>
      </c>
      <c r="R6" s="6">
        <f t="shared" ref="R6:R24" si="3">SUM(N6:Q6)</f>
        <v>16266811000000</v>
      </c>
      <c r="S6" s="7">
        <f t="shared" ref="S6:S24" si="4">IF(R6&lt;&gt;0,L6/R6,"")</f>
        <v>7.1523098159805265</v>
      </c>
      <c r="T6" s="8" t="s">
        <v>23</v>
      </c>
      <c r="U6" s="9">
        <f>L6/L25</f>
        <v>6.5051753593312389E-2</v>
      </c>
    </row>
    <row r="7" spans="1:21" x14ac:dyDescent="0.25">
      <c r="A7" s="10" t="s">
        <v>24</v>
      </c>
      <c r="B7" s="11">
        <v>72500</v>
      </c>
      <c r="C7" s="11">
        <v>103633261</v>
      </c>
      <c r="D7" s="11">
        <v>775999110707</v>
      </c>
      <c r="E7" s="11">
        <v>776026771822</v>
      </c>
      <c r="F7" s="11">
        <v>188853744670</v>
      </c>
      <c r="G7" s="11">
        <v>227843348651</v>
      </c>
      <c r="H7" s="11">
        <v>294807535018</v>
      </c>
      <c r="I7" s="11">
        <v>196215054805</v>
      </c>
      <c r="J7" s="11">
        <v>57133172233</v>
      </c>
      <c r="K7" s="12">
        <f t="shared" si="0"/>
        <v>775999110707</v>
      </c>
      <c r="L7" s="12">
        <f t="shared" si="1"/>
        <v>7513411422500</v>
      </c>
      <c r="M7" s="13">
        <f t="shared" si="2"/>
        <v>9.6822423103741126</v>
      </c>
      <c r="N7" s="14">
        <v>227850003196</v>
      </c>
      <c r="O7" s="14">
        <v>294818204842</v>
      </c>
      <c r="P7" s="14">
        <v>196222300741</v>
      </c>
      <c r="Q7" s="14">
        <v>57136263043</v>
      </c>
      <c r="R7" s="15">
        <f t="shared" si="3"/>
        <v>776026771822</v>
      </c>
      <c r="S7" s="16">
        <f t="shared" si="4"/>
        <v>9.6818971913296021</v>
      </c>
      <c r="T7" s="17" t="s">
        <v>25</v>
      </c>
      <c r="U7" s="18">
        <f>L7/L25</f>
        <v>4.2009492963638283E-3</v>
      </c>
    </row>
    <row r="8" spans="1:21" x14ac:dyDescent="0.25">
      <c r="A8" s="4" t="s">
        <v>26</v>
      </c>
      <c r="B8" s="5">
        <v>21050</v>
      </c>
      <c r="C8" s="5">
        <v>1868810600</v>
      </c>
      <c r="D8" s="5">
        <v>747610000000</v>
      </c>
      <c r="E8" s="5">
        <v>747610000000</v>
      </c>
      <c r="F8" s="5">
        <v>2736940000000</v>
      </c>
      <c r="G8" s="5">
        <v>269160000000</v>
      </c>
      <c r="H8" s="5">
        <v>-472482000000</v>
      </c>
      <c r="I8" s="5">
        <v>444688000000</v>
      </c>
      <c r="J8" s="5">
        <v>506244000000</v>
      </c>
      <c r="K8" s="6">
        <f t="shared" si="0"/>
        <v>747610000000</v>
      </c>
      <c r="L8" s="6">
        <f t="shared" si="1"/>
        <v>39338463130000</v>
      </c>
      <c r="M8" s="7">
        <f t="shared" si="2"/>
        <v>52.618963269619186</v>
      </c>
      <c r="N8" s="5">
        <v>269160000000</v>
      </c>
      <c r="O8" s="5">
        <v>-472482000000</v>
      </c>
      <c r="P8" s="5">
        <v>444688000000</v>
      </c>
      <c r="Q8" s="5">
        <v>506244000000</v>
      </c>
      <c r="R8" s="6">
        <f t="shared" si="3"/>
        <v>747610000000</v>
      </c>
      <c r="S8" s="7">
        <f t="shared" si="4"/>
        <v>52.618963269619186</v>
      </c>
      <c r="T8" s="8" t="s">
        <v>23</v>
      </c>
      <c r="U8" s="9">
        <f>L8/L25</f>
        <v>2.1995186968081663E-2</v>
      </c>
    </row>
    <row r="9" spans="1:21" x14ac:dyDescent="0.25">
      <c r="A9" s="10" t="s">
        <v>27</v>
      </c>
      <c r="B9" s="11">
        <v>72900</v>
      </c>
      <c r="C9" s="11">
        <v>1703507121</v>
      </c>
      <c r="D9" s="11">
        <v>9682350658815</v>
      </c>
      <c r="E9" s="11">
        <v>11106726226538</v>
      </c>
      <c r="F9" s="11">
        <v>117186415547</v>
      </c>
      <c r="G9" s="11">
        <v>2487371587099</v>
      </c>
      <c r="H9" s="11">
        <v>2502704371686</v>
      </c>
      <c r="I9" s="11">
        <v>2434841434732</v>
      </c>
      <c r="J9" s="11">
        <v>2257433265298</v>
      </c>
      <c r="K9" s="12">
        <f t="shared" si="0"/>
        <v>9682350658815</v>
      </c>
      <c r="L9" s="12">
        <f t="shared" si="1"/>
        <v>124185669120900</v>
      </c>
      <c r="M9" s="13">
        <f t="shared" si="2"/>
        <v>12.825983430773492</v>
      </c>
      <c r="N9" s="14">
        <v>2476789833481</v>
      </c>
      <c r="O9" s="14">
        <v>2988148562554</v>
      </c>
      <c r="P9" s="14">
        <v>2901545752650</v>
      </c>
      <c r="Q9" s="14">
        <v>2740242077853</v>
      </c>
      <c r="R9" s="15">
        <f t="shared" si="3"/>
        <v>11106726226538</v>
      </c>
      <c r="S9" s="16">
        <f t="shared" si="4"/>
        <v>11.181122734814096</v>
      </c>
      <c r="T9" s="17" t="s">
        <v>23</v>
      </c>
      <c r="U9" s="18">
        <f>L9/L25</f>
        <v>6.9435529345513627E-2</v>
      </c>
    </row>
    <row r="10" spans="1:21" x14ac:dyDescent="0.25">
      <c r="A10" s="4" t="s">
        <v>28</v>
      </c>
      <c r="B10" s="5">
        <v>74300</v>
      </c>
      <c r="C10" s="5">
        <v>426495109</v>
      </c>
      <c r="D10" s="5">
        <v>1785508912956</v>
      </c>
      <c r="E10" s="5">
        <v>2324183530256</v>
      </c>
      <c r="F10" s="5">
        <v>-287960924292</v>
      </c>
      <c r="G10" s="5">
        <v>534243825954</v>
      </c>
      <c r="H10" s="5">
        <v>513435769244</v>
      </c>
      <c r="I10" s="5">
        <v>315208520917</v>
      </c>
      <c r="J10" s="5">
        <v>422620796841</v>
      </c>
      <c r="K10" s="6">
        <f t="shared" si="0"/>
        <v>1785508912956</v>
      </c>
      <c r="L10" s="6">
        <f t="shared" si="1"/>
        <v>31688586598700</v>
      </c>
      <c r="M10" s="7">
        <f t="shared" si="2"/>
        <v>17.747649630176277</v>
      </c>
      <c r="N10" s="5">
        <v>650228328157</v>
      </c>
      <c r="O10" s="5">
        <v>659974521301</v>
      </c>
      <c r="P10" s="5">
        <v>432436874604</v>
      </c>
      <c r="Q10" s="5">
        <v>581543806194</v>
      </c>
      <c r="R10" s="6">
        <f t="shared" si="3"/>
        <v>2324183530256</v>
      </c>
      <c r="S10" s="7">
        <f t="shared" si="4"/>
        <v>13.634287562139992</v>
      </c>
      <c r="T10" s="8" t="s">
        <v>23</v>
      </c>
      <c r="U10" s="9">
        <f>L10/L25</f>
        <v>1.7717936379195134E-2</v>
      </c>
    </row>
    <row r="11" spans="1:21" x14ac:dyDescent="0.25">
      <c r="A11" s="10" t="s">
        <v>29</v>
      </c>
      <c r="B11" s="11">
        <v>26600</v>
      </c>
      <c r="C11" s="11">
        <v>5005276300</v>
      </c>
      <c r="D11" s="11">
        <v>17035358000000</v>
      </c>
      <c r="E11" s="11">
        <v>17597172000000</v>
      </c>
      <c r="F11" s="11">
        <v>31758550000000</v>
      </c>
      <c r="G11" s="11">
        <v>4766642000000</v>
      </c>
      <c r="H11" s="11">
        <v>5107218000000</v>
      </c>
      <c r="I11" s="11">
        <v>3646638000000</v>
      </c>
      <c r="J11" s="11">
        <v>3514860000000</v>
      </c>
      <c r="K11" s="12">
        <f t="shared" si="0"/>
        <v>17035358000000</v>
      </c>
      <c r="L11" s="12">
        <f t="shared" si="1"/>
        <v>133140349580000</v>
      </c>
      <c r="M11" s="13">
        <f t="shared" si="2"/>
        <v>7.815529886721488</v>
      </c>
      <c r="N11" s="14">
        <v>4902140000000</v>
      </c>
      <c r="O11" s="14">
        <v>5220156000000</v>
      </c>
      <c r="P11" s="14">
        <v>3798817000000</v>
      </c>
      <c r="Q11" s="14">
        <v>3676059000000</v>
      </c>
      <c r="R11" s="15">
        <f t="shared" si="3"/>
        <v>17597172000000</v>
      </c>
      <c r="S11" s="16">
        <f t="shared" si="4"/>
        <v>7.5660083097443156</v>
      </c>
      <c r="T11" s="17" t="s">
        <v>23</v>
      </c>
      <c r="U11" s="18">
        <f>L11/L25</f>
        <v>7.4442330711557037E-2</v>
      </c>
    </row>
    <row r="12" spans="1:21" x14ac:dyDescent="0.25">
      <c r="A12" s="4" t="s">
        <v>30</v>
      </c>
      <c r="B12" s="5">
        <v>21850</v>
      </c>
      <c r="C12" s="5">
        <v>1122214899</v>
      </c>
      <c r="D12" s="5">
        <v>1211841381000</v>
      </c>
      <c r="E12" s="5">
        <v>1841945266000</v>
      </c>
      <c r="F12" s="5">
        <v>302148501000</v>
      </c>
      <c r="G12" s="5">
        <v>281385451000</v>
      </c>
      <c r="H12" s="5">
        <v>495954642000</v>
      </c>
      <c r="I12" s="5">
        <v>235764953000</v>
      </c>
      <c r="J12" s="5">
        <v>198736335000</v>
      </c>
      <c r="K12" s="6">
        <f t="shared" si="0"/>
        <v>1211841381000</v>
      </c>
      <c r="L12" s="6">
        <f t="shared" si="1"/>
        <v>24520395543150</v>
      </c>
      <c r="M12" s="7">
        <f t="shared" si="2"/>
        <v>20.233997557432808</v>
      </c>
      <c r="N12" s="5">
        <v>327045031000</v>
      </c>
      <c r="O12" s="5">
        <v>793018403000</v>
      </c>
      <c r="P12" s="5">
        <v>525903525000</v>
      </c>
      <c r="Q12" s="5">
        <v>195978307000</v>
      </c>
      <c r="R12" s="6">
        <f t="shared" si="3"/>
        <v>1841945266000</v>
      </c>
      <c r="S12" s="7">
        <f t="shared" si="4"/>
        <v>13.312228107841072</v>
      </c>
      <c r="T12" s="8" t="s">
        <v>23</v>
      </c>
      <c r="U12" s="9">
        <f>L12/L25</f>
        <v>1.3710009024007862E-2</v>
      </c>
    </row>
    <row r="13" spans="1:21" x14ac:dyDescent="0.25">
      <c r="A13" s="10" t="s">
        <v>31</v>
      </c>
      <c r="B13" s="11">
        <v>53100</v>
      </c>
      <c r="C13" s="11">
        <v>2987282100</v>
      </c>
      <c r="D13" s="11">
        <v>11167664000000</v>
      </c>
      <c r="E13" s="11">
        <v>11167664000000</v>
      </c>
      <c r="F13" s="11">
        <v>15918328000000</v>
      </c>
      <c r="G13" s="11">
        <v>2279191000000</v>
      </c>
      <c r="H13" s="11">
        <v>3730588000000</v>
      </c>
      <c r="I13" s="11">
        <v>2762014000000</v>
      </c>
      <c r="J13" s="11">
        <v>2395871000000</v>
      </c>
      <c r="K13" s="12">
        <f t="shared" si="0"/>
        <v>11167664000000</v>
      </c>
      <c r="L13" s="12">
        <f t="shared" si="1"/>
        <v>158624679510000</v>
      </c>
      <c r="M13" s="13">
        <f t="shared" si="2"/>
        <v>14.203926578557521</v>
      </c>
      <c r="N13" s="14">
        <v>2279191000000</v>
      </c>
      <c r="O13" s="14">
        <v>3730588000000</v>
      </c>
      <c r="P13" s="14">
        <v>2762014000000</v>
      </c>
      <c r="Q13" s="14">
        <v>2395871000000</v>
      </c>
      <c r="R13" s="15">
        <f t="shared" si="3"/>
        <v>11167664000000</v>
      </c>
      <c r="S13" s="16">
        <f t="shared" si="4"/>
        <v>14.203926578557521</v>
      </c>
      <c r="T13" s="17" t="s">
        <v>23</v>
      </c>
      <c r="U13" s="18">
        <f>L13/L25</f>
        <v>8.8691301234738465E-2</v>
      </c>
    </row>
    <row r="14" spans="1:21" x14ac:dyDescent="0.25">
      <c r="A14" s="4" t="s">
        <v>32</v>
      </c>
      <c r="B14" s="5">
        <v>25750</v>
      </c>
      <c r="C14" s="5">
        <v>8054999900</v>
      </c>
      <c r="D14" s="5">
        <v>27726712000000</v>
      </c>
      <c r="E14" s="5">
        <v>28410819000000</v>
      </c>
      <c r="F14" s="5">
        <v>49722327000000</v>
      </c>
      <c r="G14" s="5">
        <v>7515513000000</v>
      </c>
      <c r="H14" s="5">
        <v>8762570000000</v>
      </c>
      <c r="I14" s="5">
        <v>5571024000000</v>
      </c>
      <c r="J14" s="5">
        <v>5877605000000</v>
      </c>
      <c r="K14" s="6">
        <f t="shared" si="0"/>
        <v>27726712000000</v>
      </c>
      <c r="L14" s="6">
        <f t="shared" si="1"/>
        <v>207416247425000</v>
      </c>
      <c r="M14" s="7">
        <f t="shared" si="2"/>
        <v>7.4807372552865266</v>
      </c>
      <c r="N14" s="5">
        <v>7702720000000</v>
      </c>
      <c r="O14" s="5">
        <v>8902952000000</v>
      </c>
      <c r="P14" s="5">
        <v>5800441000000</v>
      </c>
      <c r="Q14" s="5">
        <v>6004706000000</v>
      </c>
      <c r="R14" s="6">
        <f t="shared" si="3"/>
        <v>28410819000000</v>
      </c>
      <c r="S14" s="7">
        <f t="shared" si="4"/>
        <v>7.3006078221469082</v>
      </c>
      <c r="T14" s="8" t="s">
        <v>23</v>
      </c>
      <c r="U14" s="9">
        <f>L14/L25</f>
        <v>0.11597197194141534</v>
      </c>
    </row>
    <row r="15" spans="1:21" x14ac:dyDescent="0.25">
      <c r="A15" s="10" t="s">
        <v>33</v>
      </c>
      <c r="B15" s="11">
        <v>16000</v>
      </c>
      <c r="C15" s="11">
        <v>3120000000</v>
      </c>
      <c r="D15" s="11">
        <v>5877141000000</v>
      </c>
      <c r="E15" s="11">
        <v>5877141000000</v>
      </c>
      <c r="F15" s="11">
        <v>9342858000000</v>
      </c>
      <c r="G15" s="11">
        <v>1514222000000</v>
      </c>
      <c r="H15" s="11">
        <v>1851246000000</v>
      </c>
      <c r="I15" s="11">
        <v>1274181000000</v>
      </c>
      <c r="J15" s="11">
        <v>1237492000000</v>
      </c>
      <c r="K15" s="12">
        <f t="shared" si="0"/>
        <v>5877141000000</v>
      </c>
      <c r="L15" s="12">
        <f t="shared" si="1"/>
        <v>49920000000000</v>
      </c>
      <c r="M15" s="13">
        <f t="shared" si="2"/>
        <v>8.4939258731413787</v>
      </c>
      <c r="N15" s="14">
        <v>1514222000000</v>
      </c>
      <c r="O15" s="14">
        <v>1851246000000</v>
      </c>
      <c r="P15" s="14">
        <v>1274181000000</v>
      </c>
      <c r="Q15" s="14">
        <v>1237492000000</v>
      </c>
      <c r="R15" s="15">
        <f t="shared" si="3"/>
        <v>5877141000000</v>
      </c>
      <c r="S15" s="16">
        <f t="shared" si="4"/>
        <v>8.4939258731413787</v>
      </c>
      <c r="T15" s="17" t="s">
        <v>23</v>
      </c>
      <c r="U15" s="18">
        <f>L15/L25</f>
        <v>2.7911607268899338E-2</v>
      </c>
    </row>
    <row r="16" spans="1:21" x14ac:dyDescent="0.25">
      <c r="A16" s="4" t="s">
        <v>34</v>
      </c>
      <c r="B16" s="5">
        <v>72500</v>
      </c>
      <c r="C16" s="5">
        <v>1520492000</v>
      </c>
      <c r="D16" s="5">
        <v>4960600000000</v>
      </c>
      <c r="E16" s="5">
        <v>7754048000000</v>
      </c>
      <c r="F16" s="5">
        <v>264434000000</v>
      </c>
      <c r="G16" s="5">
        <v>1245794000000</v>
      </c>
      <c r="H16" s="5">
        <v>1473959000000</v>
      </c>
      <c r="I16" s="5">
        <v>1208655000000</v>
      </c>
      <c r="J16" s="5">
        <v>1032192000000</v>
      </c>
      <c r="K16" s="6">
        <f t="shared" si="0"/>
        <v>4960600000000</v>
      </c>
      <c r="L16" s="6">
        <f t="shared" si="1"/>
        <v>110235670000000</v>
      </c>
      <c r="M16" s="7">
        <f t="shared" si="2"/>
        <v>22.222245292908116</v>
      </c>
      <c r="N16" s="5">
        <v>1973577000000</v>
      </c>
      <c r="O16" s="5">
        <v>2295343000000</v>
      </c>
      <c r="P16" s="5">
        <v>1865752000000</v>
      </c>
      <c r="Q16" s="5">
        <v>1619376000000</v>
      </c>
      <c r="R16" s="6">
        <f t="shared" si="3"/>
        <v>7754048000000</v>
      </c>
      <c r="S16" s="7">
        <f t="shared" si="4"/>
        <v>14.216531803775267</v>
      </c>
      <c r="T16" s="8" t="s">
        <v>23</v>
      </c>
      <c r="U16" s="9">
        <f>L16/L25</f>
        <v>6.1635711699999776E-2</v>
      </c>
    </row>
    <row r="17" spans="1:21" x14ac:dyDescent="0.25">
      <c r="A17" s="10" t="s">
        <v>35</v>
      </c>
      <c r="B17" s="11">
        <v>80000</v>
      </c>
      <c r="C17" s="11">
        <v>1469693177</v>
      </c>
      <c r="D17" s="11">
        <v>8205122285287</v>
      </c>
      <c r="E17" s="11">
        <v>8285243890679</v>
      </c>
      <c r="F17" s="11">
        <v>-45008646859</v>
      </c>
      <c r="G17" s="11">
        <v>2714430853106</v>
      </c>
      <c r="H17" s="11">
        <v>2071646268173</v>
      </c>
      <c r="I17" s="11">
        <v>1770898917304</v>
      </c>
      <c r="J17" s="11">
        <v>1648146246704</v>
      </c>
      <c r="K17" s="12">
        <f t="shared" si="0"/>
        <v>8205122285287</v>
      </c>
      <c r="L17" s="12">
        <f t="shared" si="1"/>
        <v>117575454160000</v>
      </c>
      <c r="M17" s="13">
        <f t="shared" si="2"/>
        <v>14.329518814220503</v>
      </c>
      <c r="N17" s="14">
        <v>2757557020527</v>
      </c>
      <c r="O17" s="14">
        <v>2086492115257</v>
      </c>
      <c r="P17" s="14">
        <v>1783665633985</v>
      </c>
      <c r="Q17" s="14">
        <v>1657529120910</v>
      </c>
      <c r="R17" s="15">
        <f t="shared" si="3"/>
        <v>8285243890679</v>
      </c>
      <c r="S17" s="16">
        <f t="shared" si="4"/>
        <v>14.190946665103464</v>
      </c>
      <c r="T17" s="17" t="s">
        <v>23</v>
      </c>
      <c r="U17" s="18">
        <f>L17/L25</f>
        <v>6.5739581349687437E-2</v>
      </c>
    </row>
    <row r="18" spans="1:21" x14ac:dyDescent="0.25">
      <c r="A18" s="4" t="s">
        <v>36</v>
      </c>
      <c r="B18" s="5">
        <v>26700</v>
      </c>
      <c r="C18" s="5">
        <v>485097383</v>
      </c>
      <c r="D18" s="5">
        <v>661238463733</v>
      </c>
      <c r="E18" s="5">
        <v>945971132423</v>
      </c>
      <c r="F18" s="5">
        <v>29514061833</v>
      </c>
      <c r="G18" s="5">
        <v>68223693278</v>
      </c>
      <c r="H18" s="5">
        <v>347722290041</v>
      </c>
      <c r="I18" s="5">
        <v>145962934607</v>
      </c>
      <c r="J18" s="5">
        <v>99329545807</v>
      </c>
      <c r="K18" s="6">
        <f t="shared" si="0"/>
        <v>661238463733</v>
      </c>
      <c r="L18" s="6">
        <f t="shared" si="1"/>
        <v>12952100126100</v>
      </c>
      <c r="M18" s="7">
        <f t="shared" si="2"/>
        <v>19.587638705981114</v>
      </c>
      <c r="N18" s="5">
        <v>109516870300</v>
      </c>
      <c r="O18" s="5">
        <v>504868412213</v>
      </c>
      <c r="P18" s="5">
        <v>234048067926</v>
      </c>
      <c r="Q18" s="5">
        <v>97537781984</v>
      </c>
      <c r="R18" s="6">
        <f t="shared" si="3"/>
        <v>945971132423</v>
      </c>
      <c r="S18" s="7">
        <f t="shared" si="4"/>
        <v>13.69185557800758</v>
      </c>
      <c r="T18" s="8" t="s">
        <v>23</v>
      </c>
      <c r="U18" s="9">
        <f>L18/L25</f>
        <v>7.2418656255441669E-3</v>
      </c>
    </row>
    <row r="19" spans="1:21" x14ac:dyDescent="0.25">
      <c r="A19" s="10" t="s">
        <v>37</v>
      </c>
      <c r="B19" s="11">
        <v>62700</v>
      </c>
      <c r="C19" s="11">
        <v>341318666</v>
      </c>
      <c r="D19" s="11">
        <v>3859746895722</v>
      </c>
      <c r="E19" s="11">
        <v>3859746895722</v>
      </c>
      <c r="F19" s="11">
        <v>29260377068</v>
      </c>
      <c r="G19" s="11">
        <v>1467405321344</v>
      </c>
      <c r="H19" s="11">
        <v>1218909077096</v>
      </c>
      <c r="I19" s="11">
        <v>495704579157</v>
      </c>
      <c r="J19" s="11">
        <v>677727918125</v>
      </c>
      <c r="K19" s="12">
        <f t="shared" si="0"/>
        <v>3859746895722</v>
      </c>
      <c r="L19" s="12">
        <f t="shared" si="1"/>
        <v>21400680358200</v>
      </c>
      <c r="M19" s="13">
        <f t="shared" si="2"/>
        <v>5.5445812734300581</v>
      </c>
      <c r="N19" s="14">
        <v>1467405321344</v>
      </c>
      <c r="O19" s="14">
        <v>1218909077096</v>
      </c>
      <c r="P19" s="14">
        <v>495704579157</v>
      </c>
      <c r="Q19" s="14">
        <v>677727918125</v>
      </c>
      <c r="R19" s="15">
        <f t="shared" si="3"/>
        <v>3859746895722</v>
      </c>
      <c r="S19" s="16">
        <f t="shared" si="4"/>
        <v>5.5445812734300581</v>
      </c>
      <c r="T19" s="17" t="s">
        <v>38</v>
      </c>
      <c r="U19" s="18">
        <f>L19/L25</f>
        <v>1.1965692817414391E-2</v>
      </c>
    </row>
    <row r="20" spans="1:21" x14ac:dyDescent="0.25">
      <c r="A20" s="4" t="s">
        <v>39</v>
      </c>
      <c r="B20" s="5">
        <v>49900</v>
      </c>
      <c r="C20" s="5">
        <v>541658139</v>
      </c>
      <c r="D20" s="5">
        <v>2161197716572</v>
      </c>
      <c r="E20" s="5">
        <v>3271373390067</v>
      </c>
      <c r="F20" s="5">
        <v>-33625190695</v>
      </c>
      <c r="G20" s="5">
        <v>714242590433</v>
      </c>
      <c r="H20" s="5">
        <v>149228234477</v>
      </c>
      <c r="I20" s="5">
        <v>674227109814</v>
      </c>
      <c r="J20" s="5">
        <v>623499781848</v>
      </c>
      <c r="K20" s="6">
        <f t="shared" si="0"/>
        <v>2161197716572</v>
      </c>
      <c r="L20" s="6">
        <f t="shared" si="1"/>
        <v>27028741136100</v>
      </c>
      <c r="M20" s="7">
        <f t="shared" si="2"/>
        <v>12.506371318479756</v>
      </c>
      <c r="N20" s="5">
        <v>938744544933</v>
      </c>
      <c r="O20" s="5">
        <v>768661395236</v>
      </c>
      <c r="P20" s="5">
        <v>824812238009</v>
      </c>
      <c r="Q20" s="5">
        <v>739155211889</v>
      </c>
      <c r="R20" s="6">
        <f t="shared" si="3"/>
        <v>3271373390067</v>
      </c>
      <c r="S20" s="7">
        <f t="shared" si="4"/>
        <v>8.262199973310425</v>
      </c>
      <c r="T20" s="8" t="s">
        <v>23</v>
      </c>
      <c r="U20" s="9">
        <f>L20/L25</f>
        <v>1.5112492138693256E-2</v>
      </c>
    </row>
    <row r="21" spans="1:21" x14ac:dyDescent="0.25">
      <c r="A21" s="10" t="s">
        <v>40</v>
      </c>
      <c r="B21" s="11">
        <v>73200</v>
      </c>
      <c r="C21" s="11">
        <v>1885215700</v>
      </c>
      <c r="D21" s="11">
        <v>4626823000000</v>
      </c>
      <c r="E21" s="11">
        <v>4626823000000</v>
      </c>
      <c r="F21" s="11">
        <v>19272575000000</v>
      </c>
      <c r="G21" s="11">
        <v>1584404000000</v>
      </c>
      <c r="H21" s="11">
        <v>-2752462000000</v>
      </c>
      <c r="I21" s="11">
        <v>2901283000000</v>
      </c>
      <c r="J21" s="11">
        <v>2893598000000</v>
      </c>
      <c r="K21" s="12">
        <f t="shared" si="0"/>
        <v>4626823000000</v>
      </c>
      <c r="L21" s="12">
        <f t="shared" si="1"/>
        <v>137997789240000</v>
      </c>
      <c r="M21" s="13">
        <f t="shared" si="2"/>
        <v>29.825603711229064</v>
      </c>
      <c r="N21" s="14">
        <v>1584404000000</v>
      </c>
      <c r="O21" s="14">
        <v>-2752462000000</v>
      </c>
      <c r="P21" s="14">
        <v>2901283000000</v>
      </c>
      <c r="Q21" s="14">
        <v>2893598000000</v>
      </c>
      <c r="R21" s="15">
        <f t="shared" si="3"/>
        <v>4626823000000</v>
      </c>
      <c r="S21" s="16">
        <f t="shared" si="4"/>
        <v>29.825603711229064</v>
      </c>
      <c r="T21" s="17" t="s">
        <v>23</v>
      </c>
      <c r="U21" s="18">
        <f>L21/L25</f>
        <v>7.7158255153109437E-2</v>
      </c>
    </row>
    <row r="22" spans="1:21" x14ac:dyDescent="0.25">
      <c r="A22" s="4" t="s">
        <v>41</v>
      </c>
      <c r="B22" s="5">
        <v>34300</v>
      </c>
      <c r="C22" s="5">
        <v>7086240400</v>
      </c>
      <c r="D22" s="5">
        <v>25713947000000</v>
      </c>
      <c r="E22" s="5">
        <v>26557142000000</v>
      </c>
      <c r="F22" s="5">
        <v>37851615000000</v>
      </c>
      <c r="G22" s="5">
        <v>6671081000000</v>
      </c>
      <c r="H22" s="5">
        <v>6675562000000</v>
      </c>
      <c r="I22" s="5">
        <v>6419344000000</v>
      </c>
      <c r="J22" s="5">
        <v>5947960000000</v>
      </c>
      <c r="K22" s="6">
        <f t="shared" si="0"/>
        <v>25713947000000</v>
      </c>
      <c r="L22" s="6">
        <f t="shared" si="1"/>
        <v>243058045720000</v>
      </c>
      <c r="M22" s="7">
        <f t="shared" si="2"/>
        <v>9.4523818424297126</v>
      </c>
      <c r="N22" s="5">
        <v>6950280000000</v>
      </c>
      <c r="O22" s="5">
        <v>6979826000000</v>
      </c>
      <c r="P22" s="5">
        <v>6613525000000</v>
      </c>
      <c r="Q22" s="5">
        <v>6013511000000</v>
      </c>
      <c r="R22" s="6">
        <f t="shared" si="3"/>
        <v>26557142000000</v>
      </c>
      <c r="S22" s="7">
        <f t="shared" si="4"/>
        <v>9.1522666753824637</v>
      </c>
      <c r="T22" s="8" t="s">
        <v>38</v>
      </c>
      <c r="U22" s="9">
        <f>L22/L25</f>
        <v>0.13590025472121034</v>
      </c>
    </row>
    <row r="23" spans="1:21" x14ac:dyDescent="0.25">
      <c r="A23" s="10" t="s">
        <v>42</v>
      </c>
      <c r="B23" s="11">
        <v>36200</v>
      </c>
      <c r="C23" s="11">
        <v>160000000</v>
      </c>
      <c r="D23" s="11">
        <v>653298783228</v>
      </c>
      <c r="E23" s="11">
        <v>653298783228</v>
      </c>
      <c r="F23" s="11">
        <v>-18818101903</v>
      </c>
      <c r="G23" s="11">
        <v>123413853713</v>
      </c>
      <c r="H23" s="11">
        <v>185180256820</v>
      </c>
      <c r="I23" s="11">
        <v>134607042468</v>
      </c>
      <c r="J23" s="11">
        <v>210097630227</v>
      </c>
      <c r="K23" s="12">
        <f t="shared" si="0"/>
        <v>653298783228</v>
      </c>
      <c r="L23" s="12">
        <f t="shared" si="1"/>
        <v>5792000000000</v>
      </c>
      <c r="M23" s="13">
        <f t="shared" si="2"/>
        <v>8.865774969580194</v>
      </c>
      <c r="N23" s="14">
        <v>123413853713</v>
      </c>
      <c r="O23" s="14">
        <v>185180256820</v>
      </c>
      <c r="P23" s="14">
        <v>134607042468</v>
      </c>
      <c r="Q23" s="14">
        <v>210097630227</v>
      </c>
      <c r="R23" s="15">
        <f t="shared" si="3"/>
        <v>653298783228</v>
      </c>
      <c r="S23" s="16">
        <f t="shared" si="4"/>
        <v>8.865774969580194</v>
      </c>
      <c r="T23" s="17" t="s">
        <v>23</v>
      </c>
      <c r="U23" s="18">
        <f>L23/L25</f>
        <v>3.2384621254299873E-3</v>
      </c>
    </row>
    <row r="24" spans="1:21" x14ac:dyDescent="0.25">
      <c r="A24" s="4" t="s">
        <v>43</v>
      </c>
      <c r="B24" s="5">
        <v>27700</v>
      </c>
      <c r="C24" s="5">
        <v>7933923600</v>
      </c>
      <c r="D24" s="5">
        <v>26293682000000</v>
      </c>
      <c r="E24" s="5">
        <v>26749110000000</v>
      </c>
      <c r="F24" s="5">
        <v>59921191000000</v>
      </c>
      <c r="G24" s="5">
        <v>6198661000000</v>
      </c>
      <c r="H24" s="5">
        <v>7957142000000</v>
      </c>
      <c r="I24" s="5">
        <v>7275479000000</v>
      </c>
      <c r="J24" s="5">
        <v>4862400000000</v>
      </c>
      <c r="K24" s="6">
        <f t="shared" si="0"/>
        <v>26293682000000</v>
      </c>
      <c r="L24" s="6">
        <f t="shared" si="1"/>
        <v>219769683720000</v>
      </c>
      <c r="M24" s="7">
        <f t="shared" si="2"/>
        <v>8.358269629943802</v>
      </c>
      <c r="N24" s="5">
        <v>6329468000000</v>
      </c>
      <c r="O24" s="5">
        <v>8118409000000</v>
      </c>
      <c r="P24" s="5">
        <v>7363737000000</v>
      </c>
      <c r="Q24" s="5">
        <v>4937496000000</v>
      </c>
      <c r="R24" s="6">
        <f t="shared" si="3"/>
        <v>26749110000000</v>
      </c>
      <c r="S24" s="7">
        <f t="shared" si="4"/>
        <v>8.2159624645455498</v>
      </c>
      <c r="T24" s="8" t="s">
        <v>23</v>
      </c>
      <c r="U24" s="9">
        <f>L24/L25</f>
        <v>0.12287910860582653</v>
      </c>
    </row>
    <row r="25" spans="1:21" x14ac:dyDescent="0.25">
      <c r="A25" s="19" t="s">
        <v>44</v>
      </c>
      <c r="B25" s="20"/>
      <c r="C25" s="20"/>
      <c r="D25" s="20"/>
      <c r="E25" s="20"/>
      <c r="F25" s="20"/>
      <c r="G25" s="20"/>
      <c r="H25" s="20"/>
      <c r="I25" s="20"/>
      <c r="J25" s="20"/>
      <c r="K25" s="21">
        <f>SUM(K6:K24)</f>
        <v>169412652208020</v>
      </c>
      <c r="L25" s="21">
        <f>SUM(L6:L24)</f>
        <v>1788503238780650</v>
      </c>
      <c r="M25" s="20"/>
      <c r="N25" s="20"/>
      <c r="O25" s="20"/>
      <c r="P25" s="20"/>
      <c r="Q25" s="20"/>
      <c r="R25" s="21">
        <f>SUM(R6:R24)</f>
        <v>178818855886735</v>
      </c>
      <c r="S25" s="20"/>
      <c r="T25" s="20"/>
      <c r="U25" s="20"/>
    </row>
    <row r="27" spans="1:21" ht="18.75" x14ac:dyDescent="0.25">
      <c r="A27" s="26" t="s">
        <v>45</v>
      </c>
      <c r="B27" s="25"/>
      <c r="C27" s="25"/>
      <c r="D27" s="25"/>
      <c r="E27" s="25"/>
      <c r="F27" s="25"/>
      <c r="G27" s="25"/>
      <c r="H27" s="25"/>
      <c r="I27" s="25"/>
      <c r="J27" s="25"/>
      <c r="K27" s="22">
        <f>L25/K25</f>
        <v>10.557081867678725</v>
      </c>
    </row>
    <row r="28" spans="1:21" ht="18.75" x14ac:dyDescent="0.25">
      <c r="A28" s="26" t="s">
        <v>46</v>
      </c>
      <c r="B28" s="25"/>
      <c r="C28" s="25"/>
      <c r="D28" s="25"/>
      <c r="E28" s="25"/>
      <c r="F28" s="25"/>
      <c r="G28" s="25"/>
      <c r="H28" s="25"/>
      <c r="I28" s="25"/>
      <c r="J28" s="25"/>
      <c r="K28" s="23">
        <f>L25/R25</f>
        <v>10.001759769190668</v>
      </c>
    </row>
  </sheetData>
  <mergeCells count="8">
    <mergeCell ref="A1:U1"/>
    <mergeCell ref="N4:S4"/>
    <mergeCell ref="T4:U4"/>
    <mergeCell ref="A2:U2"/>
    <mergeCell ref="A27:J27"/>
    <mergeCell ref="G4:M4"/>
    <mergeCell ref="A28:J28"/>
    <mergeCell ref="A4:F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 Diamond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2026-07-09T16:15:40Z</dcterms:created>
  <dcterms:modified xsi:type="dcterms:W3CDTF">2026-07-09T16:26:36Z</dcterms:modified>
</cp:coreProperties>
</file>
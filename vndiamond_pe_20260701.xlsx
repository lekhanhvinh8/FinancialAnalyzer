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projects\Stock_Analyzer\PriceToEarn_v2\"/>
    </mc:Choice>
  </mc:AlternateContent>
  <xr:revisionPtr revIDLastSave="0" documentId="13_ncr:1_{5D674C04-FC1C-48D5-B164-FCB8DE36EB41}" xr6:coauthVersionLast="47" xr6:coauthVersionMax="47" xr10:uidLastSave="{00000000-0000-0000-0000-000000000000}"/>
  <bookViews>
    <workbookView xWindow="23535" yWindow="5655" windowWidth="26085" windowHeight="14640" xr2:uid="{00000000-000D-0000-FFFF-FFFF00000000}"/>
  </bookViews>
  <sheets>
    <sheet name="VN Diamond PE 2026-07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D24" i="1"/>
  <c r="B27" i="1" s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7" i="1" s="1"/>
  <c r="E6" i="1"/>
  <c r="F6" i="1" s="1"/>
  <c r="E5" i="1"/>
  <c r="F5" i="1" s="1"/>
  <c r="E24" i="1" l="1"/>
  <c r="F24" i="1" l="1"/>
  <c r="F16" i="1"/>
  <c r="F15" i="1"/>
  <c r="F20" i="1"/>
  <c r="F19" i="1"/>
  <c r="F10" i="1"/>
  <c r="F23" i="1"/>
  <c r="F18" i="1"/>
  <c r="F22" i="1"/>
  <c r="F14" i="1"/>
  <c r="F21" i="1"/>
  <c r="F13" i="1"/>
  <c r="F12" i="1"/>
  <c r="F11" i="1"/>
  <c r="F17" i="1"/>
  <c r="F9" i="1"/>
  <c r="F8" i="1"/>
  <c r="B28" i="1"/>
  <c r="B26" i="1"/>
</calcChain>
</file>

<file path=xl/sharedStrings.xml><?xml version="1.0" encoding="utf-8"?>
<sst xmlns="http://schemas.openxmlformats.org/spreadsheetml/2006/main" count="33" uniqueCount="33">
  <si>
    <t>VN Diamond — Aggregate P/E Calculation  |  Date: 2026-07-01</t>
  </si>
  <si>
    <t>Formula:  Aggregate P/E  =  Σ(Price × Shares)  /  Σ(TTM Net Profit)</t>
  </si>
  <si>
    <t>Symbol</t>
  </si>
  <si>
    <t>Price (VND)</t>
  </si>
  <si>
    <t>Shares</t>
  </si>
  <si>
    <t>TTM Net Profit (VND)</t>
  </si>
  <si>
    <t>Market Cap (VND)</t>
  </si>
  <si>
    <t>Weight (%)</t>
  </si>
  <si>
    <t>ACB</t>
  </si>
  <si>
    <t>CTD</t>
  </si>
  <si>
    <t>EIB</t>
  </si>
  <si>
    <t>FPT</t>
  </si>
  <si>
    <t>GMD</t>
  </si>
  <si>
    <t>HDB</t>
  </si>
  <si>
    <t>KDH</t>
  </si>
  <si>
    <t>LPB</t>
  </si>
  <si>
    <t>MBB</t>
  </si>
  <si>
    <t>MSB</t>
  </si>
  <si>
    <t>MSN</t>
  </si>
  <si>
    <t>MWG</t>
  </si>
  <si>
    <t>NLG</t>
  </si>
  <si>
    <t>PNJ</t>
  </si>
  <si>
    <t>REE</t>
  </si>
  <si>
    <t>STB</t>
  </si>
  <si>
    <t>TCB</t>
  </si>
  <si>
    <t>VCS</t>
  </si>
  <si>
    <t>VPB</t>
  </si>
  <si>
    <t>TOTAL</t>
  </si>
  <si>
    <t>Total Market Cap (VND)</t>
  </si>
  <si>
    <t>Total TTM Profit (VND)</t>
  </si>
  <si>
    <t>Aggregate P/E</t>
  </si>
  <si>
    <t>Notes:  Blue cells = hardcoded inputs (price, shares, TTM profit).  Black cells = formulas.  Shares backfilled from latest known quarter (2025-Q1) — see DATA_ISSUES.md.  TTM = sum of 4 most recent quarterly net profits via CafeF API.</t>
  </si>
  <si>
    <t>P/E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</si>
</sst>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1F3864"/>
      <name val="Arial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1"/>
      <color rgb="FF000000"/>
      <name val="Arial"/>
    </font>
    <font>
      <i/>
      <sz val="9"/>
      <color rgb="FF595959"/>
      <name val="Arial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4472C4"/>
        <bgColor rgb="FF4472C4"/>
      </patternFill>
    </fill>
    <fill>
      <patternFill patternType="solid">
        <fgColor rgb="FFEEF3FF"/>
        <bgColor rgb="FFEEF3FF"/>
      </patternFill>
    </fill>
    <fill>
      <patternFill patternType="solid">
        <fgColor rgb="FFBDD7EE"/>
        <bgColor rgb="FFBDD7EE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10" fontId="6" fillId="5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10" fontId="6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0" fontId="7" fillId="6" borderId="1" xfId="0" applyFont="1" applyFill="1" applyBorder="1"/>
    <xf numFmtId="3" fontId="6" fillId="6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164" fontId="8" fillId="7" borderId="1" xfId="0" applyNumberFormat="1" applyFont="1" applyFill="1" applyBorder="1" applyAlignment="1">
      <alignment horizontal="right" vertical="center"/>
    </xf>
    <xf numFmtId="0" fontId="0" fillId="7" borderId="1" xfId="0" applyFill="1" applyBorder="1"/>
    <xf numFmtId="0" fontId="1" fillId="2" borderId="0" xfId="0" applyFont="1" applyFill="1" applyAlignment="1">
      <alignment horizontal="center" vertical="center"/>
    </xf>
    <xf numFmtId="3" fontId="8" fillId="7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wrapText="1"/>
    </xf>
    <xf numFmtId="0" fontId="3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pane ySplit="4" topLeftCell="A14" activePane="bottomLeft" state="frozen"/>
      <selection pane="bottomLeft" activeCell="G8" sqref="G8"/>
    </sheetView>
  </sheetViews>
  <sheetFormatPr defaultRowHeight="15" x14ac:dyDescent="0.25"/>
  <cols>
    <col min="1" max="1" width="12" customWidth="1"/>
    <col min="2" max="2" width="16" customWidth="1"/>
    <col min="3" max="3" width="18" customWidth="1"/>
    <col min="4" max="5" width="26" customWidth="1"/>
    <col min="6" max="6" width="57.7109375" customWidth="1"/>
  </cols>
  <sheetData>
    <row r="1" spans="1:7" ht="27.95" customHeight="1" x14ac:dyDescent="0.25">
      <c r="A1" s="18" t="s">
        <v>0</v>
      </c>
      <c r="B1" s="15"/>
      <c r="C1" s="15"/>
      <c r="D1" s="15"/>
      <c r="E1" s="15"/>
      <c r="F1" s="15"/>
    </row>
    <row r="2" spans="1:7" ht="18" customHeight="1" x14ac:dyDescent="0.25">
      <c r="A2" s="14" t="s">
        <v>1</v>
      </c>
      <c r="B2" s="15"/>
      <c r="C2" s="15"/>
      <c r="D2" s="15"/>
      <c r="E2" s="15"/>
      <c r="F2" s="15"/>
    </row>
    <row r="3" spans="1:7" ht="6" customHeight="1" x14ac:dyDescent="0.25"/>
    <row r="4" spans="1:7" ht="20.10000000000000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21" t="s">
        <v>32</v>
      </c>
    </row>
    <row r="5" spans="1:7" x14ac:dyDescent="0.25">
      <c r="A5" s="2" t="s">
        <v>8</v>
      </c>
      <c r="B5" s="3">
        <v>22650</v>
      </c>
      <c r="C5" s="3">
        <v>5136656600</v>
      </c>
      <c r="D5" s="3">
        <v>16266811000000</v>
      </c>
      <c r="E5" s="4">
        <f t="shared" ref="E5:E23" si="0">B5*C5</f>
        <v>116345271990000</v>
      </c>
      <c r="F5" s="5" t="e">
        <f t="shared" ref="F5:F23" si="1">E5/E$25</f>
        <v>#DIV/0!</v>
      </c>
    </row>
    <row r="6" spans="1:7" x14ac:dyDescent="0.25">
      <c r="A6" s="6" t="s">
        <v>9</v>
      </c>
      <c r="B6" s="7">
        <v>72500</v>
      </c>
      <c r="C6" s="7">
        <v>103633261</v>
      </c>
      <c r="D6" s="7">
        <v>776026771822</v>
      </c>
      <c r="E6" s="8">
        <f t="shared" si="0"/>
        <v>7513411422500</v>
      </c>
      <c r="F6" s="9" t="e">
        <f t="shared" si="1"/>
        <v>#DIV/0!</v>
      </c>
    </row>
    <row r="7" spans="1:7" x14ac:dyDescent="0.25">
      <c r="A7" s="2" t="s">
        <v>10</v>
      </c>
      <c r="B7" s="3">
        <v>21050</v>
      </c>
      <c r="C7" s="3">
        <v>1868810600</v>
      </c>
      <c r="D7" s="3">
        <v>747610000000</v>
      </c>
      <c r="E7" s="4">
        <f t="shared" si="0"/>
        <v>39338463130000</v>
      </c>
      <c r="F7" s="5" t="e">
        <f t="shared" si="1"/>
        <v>#DIV/0!</v>
      </c>
    </row>
    <row r="8" spans="1:7" x14ac:dyDescent="0.25">
      <c r="A8" s="6" t="s">
        <v>11</v>
      </c>
      <c r="B8" s="7">
        <v>72900</v>
      </c>
      <c r="C8" s="7">
        <v>1703507121</v>
      </c>
      <c r="D8" s="7">
        <v>11106726226538</v>
      </c>
      <c r="E8" s="8">
        <f t="shared" si="0"/>
        <v>124185669120900</v>
      </c>
      <c r="F8" s="9">
        <f>E8/E$24</f>
        <v>6.9435529345513627E-2</v>
      </c>
      <c r="G8">
        <f>E8/D8</f>
        <v>11.181122734814096</v>
      </c>
    </row>
    <row r="9" spans="1:7" x14ac:dyDescent="0.25">
      <c r="A9" s="2" t="s">
        <v>12</v>
      </c>
      <c r="B9" s="3">
        <v>74300</v>
      </c>
      <c r="C9" s="3">
        <v>426495109</v>
      </c>
      <c r="D9" s="3">
        <v>2324183530256</v>
      </c>
      <c r="E9" s="4">
        <f t="shared" si="0"/>
        <v>31688586598700</v>
      </c>
      <c r="F9" s="9">
        <f t="shared" ref="F9:F24" si="2">E9/E$24</f>
        <v>1.7717936379195134E-2</v>
      </c>
      <c r="G9">
        <f t="shared" ref="G9:G24" si="3">E9/D9</f>
        <v>13.634287562139992</v>
      </c>
    </row>
    <row r="10" spans="1:7" x14ac:dyDescent="0.25">
      <c r="A10" s="6" t="s">
        <v>13</v>
      </c>
      <c r="B10" s="7">
        <v>26600</v>
      </c>
      <c r="C10" s="7">
        <v>5005276300</v>
      </c>
      <c r="D10" s="7">
        <v>17597172000000</v>
      </c>
      <c r="E10" s="8">
        <f t="shared" si="0"/>
        <v>133140349580000</v>
      </c>
      <c r="F10" s="9">
        <f t="shared" si="2"/>
        <v>7.4442330711557037E-2</v>
      </c>
      <c r="G10">
        <f t="shared" si="3"/>
        <v>7.5660083097443156</v>
      </c>
    </row>
    <row r="11" spans="1:7" x14ac:dyDescent="0.25">
      <c r="A11" s="2" t="s">
        <v>14</v>
      </c>
      <c r="B11" s="3">
        <v>21850</v>
      </c>
      <c r="C11" s="3">
        <v>1122214899</v>
      </c>
      <c r="D11" s="3">
        <v>1841945266000</v>
      </c>
      <c r="E11" s="4">
        <f t="shared" si="0"/>
        <v>24520395543150</v>
      </c>
      <c r="F11" s="9">
        <f t="shared" si="2"/>
        <v>1.3710009024007862E-2</v>
      </c>
      <c r="G11">
        <f t="shared" si="3"/>
        <v>13.312228107841072</v>
      </c>
    </row>
    <row r="12" spans="1:7" x14ac:dyDescent="0.25">
      <c r="A12" s="6" t="s">
        <v>15</v>
      </c>
      <c r="B12" s="7">
        <v>53100</v>
      </c>
      <c r="C12" s="7">
        <v>2987282100</v>
      </c>
      <c r="D12" s="7">
        <v>11167664000000</v>
      </c>
      <c r="E12" s="8">
        <f t="shared" si="0"/>
        <v>158624679510000</v>
      </c>
      <c r="F12" s="9">
        <f t="shared" si="2"/>
        <v>8.8691301234738465E-2</v>
      </c>
      <c r="G12">
        <f t="shared" si="3"/>
        <v>14.203926578557521</v>
      </c>
    </row>
    <row r="13" spans="1:7" x14ac:dyDescent="0.25">
      <c r="A13" s="2" t="s">
        <v>16</v>
      </c>
      <c r="B13" s="3">
        <v>25750</v>
      </c>
      <c r="C13" s="3">
        <v>8054999900</v>
      </c>
      <c r="D13" s="3">
        <v>28410819000000</v>
      </c>
      <c r="E13" s="4">
        <f t="shared" si="0"/>
        <v>207416247425000</v>
      </c>
      <c r="F13" s="9">
        <f t="shared" si="2"/>
        <v>0.11597197194141534</v>
      </c>
      <c r="G13">
        <f t="shared" si="3"/>
        <v>7.3006078221469082</v>
      </c>
    </row>
    <row r="14" spans="1:7" x14ac:dyDescent="0.25">
      <c r="A14" s="6" t="s">
        <v>17</v>
      </c>
      <c r="B14" s="7">
        <v>16000</v>
      </c>
      <c r="C14" s="7">
        <v>3120000000</v>
      </c>
      <c r="D14" s="7">
        <v>5877141000000</v>
      </c>
      <c r="E14" s="8">
        <f t="shared" si="0"/>
        <v>49920000000000</v>
      </c>
      <c r="F14" s="9">
        <f t="shared" si="2"/>
        <v>2.7911607268899338E-2</v>
      </c>
      <c r="G14">
        <f t="shared" si="3"/>
        <v>8.4939258731413787</v>
      </c>
    </row>
    <row r="15" spans="1:7" x14ac:dyDescent="0.25">
      <c r="A15" s="2" t="s">
        <v>18</v>
      </c>
      <c r="B15" s="3">
        <v>72500</v>
      </c>
      <c r="C15" s="3">
        <v>1520492000</v>
      </c>
      <c r="D15" s="3">
        <v>7754048000000</v>
      </c>
      <c r="E15" s="4">
        <f t="shared" si="0"/>
        <v>110235670000000</v>
      </c>
      <c r="F15" s="9">
        <f t="shared" si="2"/>
        <v>6.1635711699999776E-2</v>
      </c>
      <c r="G15">
        <f t="shared" si="3"/>
        <v>14.216531803775267</v>
      </c>
    </row>
    <row r="16" spans="1:7" x14ac:dyDescent="0.25">
      <c r="A16" s="6" t="s">
        <v>19</v>
      </c>
      <c r="B16" s="7">
        <v>80000</v>
      </c>
      <c r="C16" s="7">
        <v>1469693177</v>
      </c>
      <c r="D16" s="7">
        <v>8285243890679</v>
      </c>
      <c r="E16" s="8">
        <f t="shared" si="0"/>
        <v>117575454160000</v>
      </c>
      <c r="F16" s="9">
        <f t="shared" si="2"/>
        <v>6.5739581349687437E-2</v>
      </c>
      <c r="G16">
        <f t="shared" si="3"/>
        <v>14.190946665103464</v>
      </c>
    </row>
    <row r="17" spans="1:7" x14ac:dyDescent="0.25">
      <c r="A17" s="2" t="s">
        <v>20</v>
      </c>
      <c r="B17" s="3">
        <v>26700</v>
      </c>
      <c r="C17" s="3">
        <v>485097383</v>
      </c>
      <c r="D17" s="3">
        <v>945971132423</v>
      </c>
      <c r="E17" s="4">
        <f t="shared" si="0"/>
        <v>12952100126100</v>
      </c>
      <c r="F17" s="9">
        <f t="shared" si="2"/>
        <v>7.2418656255441669E-3</v>
      </c>
      <c r="G17">
        <f t="shared" si="3"/>
        <v>13.69185557800758</v>
      </c>
    </row>
    <row r="18" spans="1:7" x14ac:dyDescent="0.25">
      <c r="A18" s="6" t="s">
        <v>21</v>
      </c>
      <c r="B18" s="7">
        <v>62700</v>
      </c>
      <c r="C18" s="7">
        <v>341318666</v>
      </c>
      <c r="D18" s="7">
        <v>3859746895722</v>
      </c>
      <c r="E18" s="8">
        <f t="shared" si="0"/>
        <v>21400680358200</v>
      </c>
      <c r="F18" s="9">
        <f t="shared" si="2"/>
        <v>1.1965692817414391E-2</v>
      </c>
      <c r="G18">
        <f t="shared" si="3"/>
        <v>5.5445812734300581</v>
      </c>
    </row>
    <row r="19" spans="1:7" x14ac:dyDescent="0.25">
      <c r="A19" s="2" t="s">
        <v>22</v>
      </c>
      <c r="B19" s="3">
        <v>49900</v>
      </c>
      <c r="C19" s="3">
        <v>541658139</v>
      </c>
      <c r="D19" s="3">
        <v>3271373390067</v>
      </c>
      <c r="E19" s="4">
        <f t="shared" si="0"/>
        <v>27028741136100</v>
      </c>
      <c r="F19" s="9">
        <f t="shared" si="2"/>
        <v>1.5112492138693256E-2</v>
      </c>
      <c r="G19">
        <f t="shared" si="3"/>
        <v>8.262199973310425</v>
      </c>
    </row>
    <row r="20" spans="1:7" x14ac:dyDescent="0.25">
      <c r="A20" s="6" t="s">
        <v>23</v>
      </c>
      <c r="B20" s="7">
        <v>73200</v>
      </c>
      <c r="C20" s="7">
        <v>1885215700</v>
      </c>
      <c r="D20" s="7">
        <v>4626823000000</v>
      </c>
      <c r="E20" s="8">
        <f t="shared" si="0"/>
        <v>137997789240000</v>
      </c>
      <c r="F20" s="9">
        <f t="shared" si="2"/>
        <v>7.7158255153109437E-2</v>
      </c>
      <c r="G20">
        <f t="shared" si="3"/>
        <v>29.825603711229064</v>
      </c>
    </row>
    <row r="21" spans="1:7" x14ac:dyDescent="0.25">
      <c r="A21" s="2" t="s">
        <v>24</v>
      </c>
      <c r="B21" s="3">
        <v>34300</v>
      </c>
      <c r="C21" s="3">
        <v>7086240400</v>
      </c>
      <c r="D21" s="3">
        <v>26891241000000</v>
      </c>
      <c r="E21" s="4">
        <f t="shared" si="0"/>
        <v>243058045720000</v>
      </c>
      <c r="F21" s="9">
        <f t="shared" si="2"/>
        <v>0.13590025472121034</v>
      </c>
      <c r="G21">
        <f t="shared" si="3"/>
        <v>9.0385581580262517</v>
      </c>
    </row>
    <row r="22" spans="1:7" x14ac:dyDescent="0.25">
      <c r="A22" s="6" t="s">
        <v>25</v>
      </c>
      <c r="B22" s="7">
        <v>36200</v>
      </c>
      <c r="C22" s="7">
        <v>160000000</v>
      </c>
      <c r="D22" s="7">
        <v>653298783228</v>
      </c>
      <c r="E22" s="8">
        <f t="shared" si="0"/>
        <v>5792000000000</v>
      </c>
      <c r="F22" s="9">
        <f t="shared" si="2"/>
        <v>3.2384621254299873E-3</v>
      </c>
      <c r="G22">
        <f t="shared" si="3"/>
        <v>8.865774969580194</v>
      </c>
    </row>
    <row r="23" spans="1:7" x14ac:dyDescent="0.25">
      <c r="A23" s="2" t="s">
        <v>26</v>
      </c>
      <c r="B23" s="3">
        <v>27700</v>
      </c>
      <c r="C23" s="3">
        <v>7933923600</v>
      </c>
      <c r="D23" s="3">
        <v>26749110000000</v>
      </c>
      <c r="E23" s="4">
        <f t="shared" si="0"/>
        <v>219769683720000</v>
      </c>
      <c r="F23" s="9">
        <f t="shared" si="2"/>
        <v>0.12287910860582653</v>
      </c>
      <c r="G23">
        <f t="shared" si="3"/>
        <v>8.2159624645455498</v>
      </c>
    </row>
    <row r="24" spans="1:7" ht="18" customHeight="1" x14ac:dyDescent="0.25">
      <c r="A24" s="10" t="s">
        <v>27</v>
      </c>
      <c r="B24" s="11"/>
      <c r="C24" s="11"/>
      <c r="D24" s="12">
        <f>SUM(D5:D23)</f>
        <v>179152954886735</v>
      </c>
      <c r="E24" s="12">
        <f>SUM(E5:E23)</f>
        <v>1788503238780650</v>
      </c>
      <c r="F24" s="9">
        <f t="shared" si="2"/>
        <v>1</v>
      </c>
    </row>
    <row r="25" spans="1:7" ht="28.5" customHeight="1" x14ac:dyDescent="0.25"/>
    <row r="26" spans="1:7" ht="18" customHeight="1" x14ac:dyDescent="0.25">
      <c r="A26" s="13" t="s">
        <v>28</v>
      </c>
      <c r="B26" s="19">
        <f>E24</f>
        <v>1788503238780650</v>
      </c>
      <c r="C26" s="17"/>
      <c r="D26" s="17"/>
    </row>
    <row r="27" spans="1:7" ht="18" customHeight="1" x14ac:dyDescent="0.25">
      <c r="A27" s="13" t="s">
        <v>29</v>
      </c>
      <c r="B27" s="19">
        <f>D24</f>
        <v>179152954886735</v>
      </c>
      <c r="C27" s="17"/>
      <c r="D27" s="17"/>
    </row>
    <row r="28" spans="1:7" ht="21.95" customHeight="1" x14ac:dyDescent="0.25">
      <c r="A28" s="13" t="s">
        <v>30</v>
      </c>
      <c r="B28" s="16">
        <f>E24/D24</f>
        <v>9.9831076741736506</v>
      </c>
      <c r="C28" s="17"/>
      <c r="D28" s="17"/>
    </row>
    <row r="30" spans="1:7" ht="27.95" customHeight="1" x14ac:dyDescent="0.25">
      <c r="A30" s="20" t="s">
        <v>31</v>
      </c>
      <c r="B30" s="15"/>
      <c r="C30" s="15"/>
      <c r="D30" s="15"/>
      <c r="E30" s="15"/>
      <c r="F30" s="15"/>
    </row>
  </sheetData>
  <mergeCells count="6">
    <mergeCell ref="A30:F30"/>
    <mergeCell ref="A2:F2"/>
    <mergeCell ref="B28:D28"/>
    <mergeCell ref="A1:F1"/>
    <mergeCell ref="B26:D26"/>
    <mergeCell ref="B27:D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 Diamond PE 2026-07-01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2026-07-09T12:07:34Z</dcterms:created>
  <dcterms:modified xsi:type="dcterms:W3CDTF">2026-07-09T16:09:46Z</dcterms:modified>
</cp:coreProperties>
</file>